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2.xml" ContentType="application/vnd.openxmlformats-officedocument.drawing+xml"/>
  <Override PartName="/xl/charts/chart3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acor\Documents\Bio3\Proposals\20 YS NSF\YS NSF 20 Writing\"/>
    </mc:Choice>
  </mc:AlternateContent>
  <bookViews>
    <workbookView xWindow="0" yWindow="0" windowWidth="23040" windowHeight="9780" activeTab="2"/>
  </bookViews>
  <sheets>
    <sheet name="Calc for text" sheetId="4" r:id="rId1"/>
    <sheet name="ForageMode (2)" sheetId="2" r:id="rId2"/>
    <sheet name="by pred density" sheetId="1" r:id="rId3"/>
  </sheets>
  <definedNames>
    <definedName name="solver_adj" localSheetId="1" hidden="1">'ForageMode (2)'!$R$96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100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'ForageMode (2)'!$T$96</definedName>
    <definedName name="solver_pre" localSheetId="1" hidden="1">0.000001</definedName>
    <definedName name="solver_rbv" localSheetId="1" hidden="1">1</definedName>
    <definedName name="solver_rlx" localSheetId="1" hidden="1">1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100</definedName>
    <definedName name="solver_tol" localSheetId="1" hidden="1">0.05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62913"/>
</workbook>
</file>

<file path=xl/calcChain.xml><?xml version="1.0" encoding="utf-8"?>
<calcChain xmlns="http://schemas.openxmlformats.org/spreadsheetml/2006/main">
  <c r="B66" i="1" l="1"/>
  <c r="E19" i="4" l="1"/>
  <c r="E18" i="4"/>
  <c r="C16" i="4" l="1"/>
  <c r="C17" i="4"/>
  <c r="AX103" i="2"/>
  <c r="AX102" i="2"/>
  <c r="AX101" i="2"/>
  <c r="AX100" i="2"/>
  <c r="AX99" i="2"/>
  <c r="AX98" i="2"/>
  <c r="AV96" i="2"/>
  <c r="V98" i="2"/>
  <c r="B117" i="2"/>
  <c r="B147" i="2"/>
  <c r="H130" i="2"/>
  <c r="D101" i="2"/>
  <c r="C99" i="2"/>
  <c r="F96" i="2"/>
  <c r="R99" i="2"/>
  <c r="T96" i="2" s="1"/>
  <c r="Q99" i="2"/>
  <c r="T95" i="2"/>
  <c r="N99" i="2" s="1"/>
  <c r="O164" i="2"/>
  <c r="H98" i="2"/>
  <c r="H135" i="2"/>
  <c r="H134" i="2"/>
  <c r="H133" i="2"/>
  <c r="H132" i="2"/>
  <c r="H131" i="2"/>
  <c r="F142" i="2"/>
  <c r="S99" i="2" l="1"/>
  <c r="H66" i="1"/>
  <c r="H62" i="1"/>
  <c r="H47" i="1"/>
  <c r="H43" i="1"/>
  <c r="H23" i="1"/>
  <c r="G48" i="1"/>
  <c r="H48" i="1" s="1"/>
  <c r="G47" i="1"/>
  <c r="G46" i="1"/>
  <c r="H46" i="1" s="1"/>
  <c r="G45" i="1"/>
  <c r="H45" i="1" s="1"/>
  <c r="G44" i="1"/>
  <c r="H44" i="1" s="1"/>
  <c r="G43" i="1"/>
  <c r="G42" i="1"/>
  <c r="G60" i="1"/>
  <c r="H60" i="1" s="1"/>
  <c r="G61" i="1"/>
  <c r="H61" i="1" s="1"/>
  <c r="G62" i="1"/>
  <c r="G63" i="1"/>
  <c r="H63" i="1" s="1"/>
  <c r="G64" i="1"/>
  <c r="H64" i="1" s="1"/>
  <c r="G65" i="1"/>
  <c r="H65" i="1" s="1"/>
  <c r="G66" i="1"/>
  <c r="G59" i="1"/>
  <c r="G29" i="1"/>
  <c r="H29" i="1" s="1"/>
  <c r="Q165" i="2"/>
  <c r="B59" i="1"/>
  <c r="G20" i="1"/>
  <c r="H20" i="1" s="1"/>
  <c r="G21" i="1"/>
  <c r="H21" i="1" s="1"/>
  <c r="G22" i="1"/>
  <c r="H22" i="1" s="1"/>
  <c r="G23" i="1"/>
  <c r="G24" i="1"/>
  <c r="H24" i="1" s="1"/>
  <c r="G25" i="1"/>
  <c r="H25" i="1" s="1"/>
  <c r="G26" i="1"/>
  <c r="H26" i="1" s="1"/>
  <c r="G27" i="1"/>
  <c r="H27" i="1" s="1"/>
  <c r="G28" i="1"/>
  <c r="H28" i="1" s="1"/>
  <c r="G19" i="1"/>
  <c r="B65" i="1"/>
  <c r="B64" i="1"/>
  <c r="B63" i="1"/>
  <c r="B62" i="1"/>
  <c r="B61" i="1"/>
  <c r="B60" i="1"/>
  <c r="AV95" i="2"/>
  <c r="AQ99" i="2"/>
  <c r="AQ100" i="2"/>
  <c r="AQ101" i="2"/>
  <c r="AQ102" i="2"/>
  <c r="AQ103" i="2"/>
  <c r="AQ104" i="2"/>
  <c r="AQ105" i="2"/>
  <c r="AQ106" i="2"/>
  <c r="AQ107" i="2"/>
  <c r="AQ108" i="2"/>
  <c r="AQ109" i="2"/>
  <c r="AQ110" i="2"/>
  <c r="AQ111" i="2"/>
  <c r="AQ112" i="2"/>
  <c r="AQ113" i="2"/>
  <c r="AQ114" i="2"/>
  <c r="AQ115" i="2"/>
  <c r="AQ116" i="2"/>
  <c r="AQ117" i="2"/>
  <c r="O165" i="2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N100" i="2"/>
  <c r="N101" i="2" s="1"/>
  <c r="N102" i="2" s="1"/>
  <c r="N103" i="2" s="1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V103" i="2" l="1"/>
  <c r="V99" i="2"/>
  <c r="N104" i="2"/>
  <c r="N105" i="2" s="1"/>
  <c r="N106" i="2" s="1"/>
  <c r="N107" i="2" s="1"/>
  <c r="N108" i="2" s="1"/>
  <c r="N109" i="2" s="1"/>
  <c r="N110" i="2" s="1"/>
  <c r="N111" i="2" s="1"/>
  <c r="AP99" i="2"/>
  <c r="AP100" i="2" s="1"/>
  <c r="AP101" i="2" s="1"/>
  <c r="AP102" i="2" s="1"/>
  <c r="AP103" i="2" s="1"/>
  <c r="AP104" i="2" s="1"/>
  <c r="AP105" i="2" s="1"/>
  <c r="AP106" i="2" s="1"/>
  <c r="N112" i="2" l="1"/>
  <c r="N113" i="2" s="1"/>
  <c r="N114" i="2" s="1"/>
  <c r="N115" i="2" s="1"/>
  <c r="N116" i="2" s="1"/>
  <c r="N117" i="2" s="1"/>
  <c r="N118" i="2" s="1"/>
  <c r="N119" i="2" s="1"/>
  <c r="AP107" i="2"/>
  <c r="AP108" i="2" s="1"/>
  <c r="AP109" i="2" s="1"/>
  <c r="AP110" i="2" s="1"/>
  <c r="AP111" i="2" s="1"/>
  <c r="AP112" i="2" s="1"/>
  <c r="AP113" i="2" s="1"/>
  <c r="AP114" i="2" s="1"/>
  <c r="AP115" i="2" s="1"/>
  <c r="AP116" i="2" s="1"/>
  <c r="AP117" i="2" s="1"/>
  <c r="AP118" i="2" s="1"/>
  <c r="AP119" i="2" s="1"/>
  <c r="R184" i="2" l="1"/>
  <c r="S184" i="2" l="1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AT184" i="2" l="1"/>
  <c r="AS184" i="2"/>
  <c r="AF184" i="2"/>
  <c r="AE184" i="2"/>
  <c r="Q184" i="2"/>
  <c r="D184" i="2"/>
  <c r="C184" i="2"/>
  <c r="AR165" i="2"/>
  <c r="AF165" i="2"/>
  <c r="AG165" i="2" s="1"/>
  <c r="AE165" i="2"/>
  <c r="AD165" i="2"/>
  <c r="AD166" i="2" s="1"/>
  <c r="C165" i="2"/>
  <c r="B165" i="2"/>
  <c r="AT164" i="2"/>
  <c r="AS164" i="2"/>
  <c r="AF164" i="2"/>
  <c r="AH161" i="2" s="1"/>
  <c r="AE164" i="2"/>
  <c r="F164" i="2"/>
  <c r="D164" i="2"/>
  <c r="C164" i="2"/>
  <c r="E164" i="2" s="1"/>
  <c r="F161" i="2"/>
  <c r="AS151" i="2"/>
  <c r="AQ151" i="2"/>
  <c r="AF151" i="2"/>
  <c r="AG151" i="2" s="1"/>
  <c r="AE151" i="2"/>
  <c r="AC151" i="2"/>
  <c r="S151" i="2"/>
  <c r="R151" i="2"/>
  <c r="Q151" i="2"/>
  <c r="O151" i="2"/>
  <c r="D151" i="2"/>
  <c r="C151" i="2"/>
  <c r="A151" i="2"/>
  <c r="C150" i="2"/>
  <c r="A150" i="2"/>
  <c r="P133" i="2"/>
  <c r="O133" i="2"/>
  <c r="D133" i="2"/>
  <c r="AS132" i="2"/>
  <c r="AR132" i="2"/>
  <c r="AD132" i="2"/>
  <c r="R132" i="2"/>
  <c r="P132" i="2"/>
  <c r="Q132" i="2" s="1"/>
  <c r="O132" i="2"/>
  <c r="D132" i="2"/>
  <c r="C132" i="2"/>
  <c r="B132" i="2"/>
  <c r="AS131" i="2"/>
  <c r="AQ131" i="2"/>
  <c r="AF131" i="2"/>
  <c r="AH128" i="2" s="1"/>
  <c r="AE131" i="2"/>
  <c r="AC131" i="2"/>
  <c r="T131" i="2"/>
  <c r="S131" i="2"/>
  <c r="R131" i="2"/>
  <c r="Q131" i="2"/>
  <c r="O131" i="2"/>
  <c r="D131" i="2"/>
  <c r="F128" i="2" s="1"/>
  <c r="C131" i="2"/>
  <c r="A131" i="2"/>
  <c r="AT128" i="2"/>
  <c r="T128" i="2"/>
  <c r="AV127" i="2"/>
  <c r="AT126" i="2"/>
  <c r="AQ120" i="2"/>
  <c r="AC120" i="2"/>
  <c r="O120" i="2"/>
  <c r="D120" i="2"/>
  <c r="E120" i="2" s="1"/>
  <c r="C120" i="2"/>
  <c r="A120" i="2"/>
  <c r="AR116" i="2"/>
  <c r="AE116" i="2"/>
  <c r="AD116" i="2"/>
  <c r="AD117" i="2" s="1"/>
  <c r="AC116" i="2"/>
  <c r="P116" i="2"/>
  <c r="O116" i="2" s="1"/>
  <c r="D116" i="2"/>
  <c r="C116" i="2"/>
  <c r="B116" i="2"/>
  <c r="D117" i="2" s="1"/>
  <c r="A116" i="2"/>
  <c r="AS115" i="2"/>
  <c r="AE115" i="2"/>
  <c r="AC115" i="2"/>
  <c r="Q115" i="2"/>
  <c r="O115" i="2"/>
  <c r="D115" i="2"/>
  <c r="E115" i="2" s="1"/>
  <c r="C115" i="2"/>
  <c r="A115" i="2"/>
  <c r="E101" i="2"/>
  <c r="AS100" i="2"/>
  <c r="AR100" i="2"/>
  <c r="AR101" i="2" s="1"/>
  <c r="AD100" i="2"/>
  <c r="AD101" i="2" s="1"/>
  <c r="AC100" i="2"/>
  <c r="P100" i="2"/>
  <c r="D100" i="2"/>
  <c r="B100" i="2"/>
  <c r="B101" i="2" s="1"/>
  <c r="C101" i="2" s="1"/>
  <c r="A100" i="2"/>
  <c r="AS99" i="2"/>
  <c r="AE99" i="2"/>
  <c r="AC99" i="2"/>
  <c r="O99" i="2"/>
  <c r="D99" i="2"/>
  <c r="A99" i="2"/>
  <c r="B65" i="2"/>
  <c r="E65" i="2" s="1"/>
  <c r="F64" i="2"/>
  <c r="E64" i="2"/>
  <c r="D64" i="2"/>
  <c r="C64" i="2"/>
  <c r="F63" i="2"/>
  <c r="E63" i="2"/>
  <c r="D63" i="2"/>
  <c r="C63" i="2"/>
  <c r="B31" i="2"/>
  <c r="E31" i="2" s="1"/>
  <c r="F30" i="2"/>
  <c r="E30" i="2"/>
  <c r="D30" i="2"/>
  <c r="C30" i="2"/>
  <c r="F29" i="2"/>
  <c r="E29" i="2"/>
  <c r="D29" i="2"/>
  <c r="C29" i="2"/>
  <c r="AG164" i="2" l="1"/>
  <c r="AH164" i="2"/>
  <c r="F131" i="2"/>
  <c r="E151" i="2"/>
  <c r="E116" i="2"/>
  <c r="F99" i="2"/>
  <c r="F31" i="2"/>
  <c r="C31" i="2"/>
  <c r="B32" i="2"/>
  <c r="C65" i="2"/>
  <c r="B66" i="2"/>
  <c r="S115" i="2"/>
  <c r="E99" i="2"/>
  <c r="T100" i="2"/>
  <c r="AD102" i="2"/>
  <c r="AC101" i="2"/>
  <c r="AE101" i="2"/>
  <c r="E132" i="2"/>
  <c r="F132" i="2"/>
  <c r="F65" i="2"/>
  <c r="D31" i="2"/>
  <c r="D65" i="2"/>
  <c r="AE100" i="2"/>
  <c r="B102" i="2"/>
  <c r="AS116" i="2"/>
  <c r="AR117" i="2"/>
  <c r="Q100" i="2"/>
  <c r="P101" i="2"/>
  <c r="AS101" i="2"/>
  <c r="AR102" i="2"/>
  <c r="AF96" i="2"/>
  <c r="F116" i="2"/>
  <c r="F120" i="2"/>
  <c r="F115" i="2"/>
  <c r="F101" i="2"/>
  <c r="C100" i="2"/>
  <c r="E100" i="2" s="1"/>
  <c r="O100" i="2"/>
  <c r="A101" i="2"/>
  <c r="AD118" i="2"/>
  <c r="AC117" i="2"/>
  <c r="AE117" i="2"/>
  <c r="C117" i="2"/>
  <c r="E117" i="2" s="1"/>
  <c r="AF132" i="2"/>
  <c r="AH132" i="2" s="1"/>
  <c r="AE132" i="2"/>
  <c r="AC132" i="2"/>
  <c r="AE166" i="2"/>
  <c r="AF166" i="2"/>
  <c r="AD167" i="2"/>
  <c r="AR166" i="2"/>
  <c r="AT165" i="2"/>
  <c r="AS165" i="2"/>
  <c r="AH131" i="2"/>
  <c r="AG131" i="2"/>
  <c r="AD133" i="2"/>
  <c r="B118" i="2"/>
  <c r="A117" i="2"/>
  <c r="Q116" i="2"/>
  <c r="P117" i="2"/>
  <c r="S132" i="2"/>
  <c r="R133" i="2"/>
  <c r="Q133" i="2"/>
  <c r="AV161" i="2"/>
  <c r="AU164" i="2"/>
  <c r="AT132" i="2"/>
  <c r="AV132" i="2" s="1"/>
  <c r="E131" i="2"/>
  <c r="B133" i="2"/>
  <c r="A132" i="2"/>
  <c r="AR133" i="2"/>
  <c r="AQ132" i="2"/>
  <c r="P134" i="2"/>
  <c r="T132" i="2"/>
  <c r="AT131" i="2"/>
  <c r="AT151" i="2"/>
  <c r="AU151" i="2" s="1"/>
  <c r="B166" i="2"/>
  <c r="D165" i="2"/>
  <c r="E165" i="2" s="1"/>
  <c r="AV164" i="2"/>
  <c r="AH165" i="2"/>
  <c r="AU132" i="2" l="1"/>
  <c r="S116" i="2"/>
  <c r="T99" i="2"/>
  <c r="AD119" i="2"/>
  <c r="AC118" i="2"/>
  <c r="AE118" i="2"/>
  <c r="AS117" i="2"/>
  <c r="AR118" i="2"/>
  <c r="T116" i="2"/>
  <c r="B167" i="2"/>
  <c r="C166" i="2"/>
  <c r="D166" i="2"/>
  <c r="AR134" i="2"/>
  <c r="AQ133" i="2"/>
  <c r="AS133" i="2"/>
  <c r="AD134" i="2"/>
  <c r="AC133" i="2"/>
  <c r="AF133" i="2"/>
  <c r="AT133" i="2"/>
  <c r="AE133" i="2"/>
  <c r="AR167" i="2"/>
  <c r="AS166" i="2"/>
  <c r="AT166" i="2"/>
  <c r="D32" i="2"/>
  <c r="B33" i="2"/>
  <c r="C32" i="2"/>
  <c r="E32" i="2"/>
  <c r="F32" i="2"/>
  <c r="D102" i="2"/>
  <c r="C102" i="2"/>
  <c r="B103" i="2"/>
  <c r="A102" i="2"/>
  <c r="S133" i="2"/>
  <c r="T151" i="2"/>
  <c r="T133" i="2"/>
  <c r="B119" i="2"/>
  <c r="A118" i="2"/>
  <c r="C118" i="2"/>
  <c r="D118" i="2"/>
  <c r="AD168" i="2"/>
  <c r="AE167" i="2"/>
  <c r="AF167" i="2"/>
  <c r="AG132" i="2"/>
  <c r="F117" i="2"/>
  <c r="AF115" i="2"/>
  <c r="AG115" i="2" s="1"/>
  <c r="AF118" i="2"/>
  <c r="AF117" i="2"/>
  <c r="AG117" i="2" s="1"/>
  <c r="AF116" i="2"/>
  <c r="AG116" i="2" s="1"/>
  <c r="AF100" i="2"/>
  <c r="AH100" i="2" s="1"/>
  <c r="AF99" i="2"/>
  <c r="AF101" i="2"/>
  <c r="AH101" i="2" s="1"/>
  <c r="P102" i="2"/>
  <c r="O101" i="2"/>
  <c r="Q101" i="2"/>
  <c r="F100" i="2"/>
  <c r="AV131" i="2"/>
  <c r="AU131" i="2"/>
  <c r="AV128" i="2"/>
  <c r="AH166" i="2"/>
  <c r="AG166" i="2"/>
  <c r="AH184" i="2"/>
  <c r="AS102" i="2"/>
  <c r="AR103" i="2"/>
  <c r="AE102" i="2"/>
  <c r="AC102" i="2"/>
  <c r="AD103" i="2"/>
  <c r="P135" i="2"/>
  <c r="O134" i="2"/>
  <c r="R134" i="2"/>
  <c r="Q134" i="2"/>
  <c r="D134" i="2"/>
  <c r="B134" i="2"/>
  <c r="A133" i="2"/>
  <c r="C133" i="2"/>
  <c r="F165" i="2"/>
  <c r="Q117" i="2"/>
  <c r="P118" i="2"/>
  <c r="O117" i="2"/>
  <c r="AU165" i="2"/>
  <c r="AV165" i="2"/>
  <c r="S100" i="2"/>
  <c r="D66" i="2"/>
  <c r="E66" i="2"/>
  <c r="B67" i="2"/>
  <c r="C66" i="2"/>
  <c r="F66" i="2"/>
  <c r="AG101" i="2" l="1"/>
  <c r="C134" i="2"/>
  <c r="B135" i="2"/>
  <c r="A134" i="2"/>
  <c r="P103" i="2"/>
  <c r="O102" i="2"/>
  <c r="Q102" i="2"/>
  <c r="AG167" i="2"/>
  <c r="AH167" i="2"/>
  <c r="AE168" i="2"/>
  <c r="AD169" i="2"/>
  <c r="AF168" i="2"/>
  <c r="B104" i="2"/>
  <c r="A103" i="2"/>
  <c r="D103" i="2"/>
  <c r="C103" i="2"/>
  <c r="AG100" i="2"/>
  <c r="AU166" i="2"/>
  <c r="AV184" i="2"/>
  <c r="AV166" i="2"/>
  <c r="AG118" i="2"/>
  <c r="F151" i="2"/>
  <c r="E133" i="2"/>
  <c r="F133" i="2"/>
  <c r="AD104" i="2"/>
  <c r="AE103" i="2"/>
  <c r="AC103" i="2"/>
  <c r="S101" i="2"/>
  <c r="T101" i="2"/>
  <c r="AT118" i="2"/>
  <c r="AT117" i="2"/>
  <c r="AU117" i="2" s="1"/>
  <c r="AT116" i="2"/>
  <c r="AT115" i="2"/>
  <c r="AU115" i="2" s="1"/>
  <c r="AT102" i="2"/>
  <c r="AU102" i="2" s="1"/>
  <c r="AT103" i="2"/>
  <c r="AT101" i="2"/>
  <c r="AT100" i="2"/>
  <c r="AT99" i="2"/>
  <c r="E102" i="2"/>
  <c r="F102" i="2"/>
  <c r="AS167" i="2"/>
  <c r="AR168" i="2"/>
  <c r="AT167" i="2"/>
  <c r="AS134" i="2"/>
  <c r="AQ134" i="2"/>
  <c r="AR135" i="2"/>
  <c r="AS118" i="2"/>
  <c r="AQ118" i="2"/>
  <c r="AR119" i="2"/>
  <c r="B68" i="2"/>
  <c r="C67" i="2"/>
  <c r="F67" i="2"/>
  <c r="E67" i="2"/>
  <c r="D67" i="2"/>
  <c r="S117" i="2"/>
  <c r="T117" i="2"/>
  <c r="AG99" i="2"/>
  <c r="AH96" i="2"/>
  <c r="AH99" i="2"/>
  <c r="AV151" i="2"/>
  <c r="AU133" i="2"/>
  <c r="AV133" i="2"/>
  <c r="C167" i="2"/>
  <c r="B168" i="2"/>
  <c r="D167" i="2"/>
  <c r="D135" i="2"/>
  <c r="P136" i="2"/>
  <c r="O135" i="2"/>
  <c r="R135" i="2"/>
  <c r="Q135" i="2"/>
  <c r="A119" i="2"/>
  <c r="D119" i="2"/>
  <c r="C119" i="2"/>
  <c r="S134" i="2"/>
  <c r="T134" i="2"/>
  <c r="AR104" i="2"/>
  <c r="AS103" i="2"/>
  <c r="Q118" i="2"/>
  <c r="P119" i="2"/>
  <c r="O118" i="2"/>
  <c r="AF102" i="2"/>
  <c r="AG102" i="2" s="1"/>
  <c r="E118" i="2"/>
  <c r="F118" i="2"/>
  <c r="B34" i="2"/>
  <c r="C33" i="2"/>
  <c r="D33" i="2"/>
  <c r="F33" i="2"/>
  <c r="E33" i="2"/>
  <c r="AH151" i="2"/>
  <c r="AG133" i="2"/>
  <c r="AH133" i="2"/>
  <c r="AD135" i="2"/>
  <c r="AC134" i="2"/>
  <c r="AT134" i="2"/>
  <c r="AE134" i="2"/>
  <c r="AF134" i="2"/>
  <c r="F184" i="2"/>
  <c r="E166" i="2"/>
  <c r="F166" i="2"/>
  <c r="AC119" i="2"/>
  <c r="AE119" i="2"/>
  <c r="AV102" i="2" l="1"/>
  <c r="AV117" i="2"/>
  <c r="AS104" i="2"/>
  <c r="AR105" i="2"/>
  <c r="E119" i="2"/>
  <c r="F119" i="2"/>
  <c r="AU118" i="2"/>
  <c r="AV118" i="2"/>
  <c r="Q119" i="2"/>
  <c r="O119" i="2"/>
  <c r="AF119" i="2"/>
  <c r="AG119" i="2" s="1"/>
  <c r="D168" i="2"/>
  <c r="B169" i="2"/>
  <c r="C168" i="2"/>
  <c r="AH102" i="2"/>
  <c r="F68" i="2"/>
  <c r="B69" i="2"/>
  <c r="E68" i="2"/>
  <c r="C68" i="2"/>
  <c r="D68" i="2"/>
  <c r="AR136" i="2"/>
  <c r="AS135" i="2"/>
  <c r="AQ135" i="2"/>
  <c r="AR169" i="2"/>
  <c r="AS168" i="2"/>
  <c r="AT168" i="2"/>
  <c r="AV99" i="2"/>
  <c r="AU99" i="2"/>
  <c r="AT119" i="2"/>
  <c r="AG168" i="2"/>
  <c r="AH168" i="2"/>
  <c r="Q103" i="2"/>
  <c r="P104" i="2"/>
  <c r="O103" i="2"/>
  <c r="AF103" i="2"/>
  <c r="AH103" i="2" s="1"/>
  <c r="AE135" i="2"/>
  <c r="AC135" i="2"/>
  <c r="AD136" i="2"/>
  <c r="AF135" i="2"/>
  <c r="AT135" i="2"/>
  <c r="F34" i="2"/>
  <c r="E34" i="2"/>
  <c r="B35" i="2"/>
  <c r="D34" i="2"/>
  <c r="C34" i="2"/>
  <c r="S118" i="2"/>
  <c r="T118" i="2"/>
  <c r="Q136" i="2"/>
  <c r="P137" i="2"/>
  <c r="D136" i="2"/>
  <c r="R136" i="2"/>
  <c r="O136" i="2"/>
  <c r="E167" i="2"/>
  <c r="F167" i="2"/>
  <c r="AS119" i="2"/>
  <c r="AQ119" i="2"/>
  <c r="AU167" i="2"/>
  <c r="AV167" i="2"/>
  <c r="AV100" i="2"/>
  <c r="AU100" i="2"/>
  <c r="AV116" i="2"/>
  <c r="AU116" i="2"/>
  <c r="AG134" i="2"/>
  <c r="AH134" i="2"/>
  <c r="AU103" i="2"/>
  <c r="AV103" i="2"/>
  <c r="S135" i="2"/>
  <c r="T135" i="2"/>
  <c r="AU134" i="2"/>
  <c r="AV134" i="2"/>
  <c r="AU101" i="2"/>
  <c r="AV101" i="2"/>
  <c r="AD105" i="2"/>
  <c r="AC104" i="2"/>
  <c r="AE104" i="2"/>
  <c r="B105" i="2"/>
  <c r="A104" i="2"/>
  <c r="C104" i="2"/>
  <c r="D104" i="2"/>
  <c r="S102" i="2"/>
  <c r="T102" i="2"/>
  <c r="C135" i="2"/>
  <c r="B136" i="2"/>
  <c r="A135" i="2"/>
  <c r="E103" i="2"/>
  <c r="F103" i="2"/>
  <c r="AD170" i="2"/>
  <c r="AF169" i="2"/>
  <c r="AE169" i="2"/>
  <c r="E134" i="2"/>
  <c r="F134" i="2"/>
  <c r="AG103" i="2" l="1"/>
  <c r="B106" i="2"/>
  <c r="A105" i="2"/>
  <c r="C105" i="2"/>
  <c r="D105" i="2"/>
  <c r="AC136" i="2"/>
  <c r="AF136" i="2"/>
  <c r="AE136" i="2"/>
  <c r="AD137" i="2"/>
  <c r="AT136" i="2"/>
  <c r="S119" i="2"/>
  <c r="T119" i="2"/>
  <c r="AG169" i="2"/>
  <c r="AH169" i="2"/>
  <c r="AS105" i="2"/>
  <c r="AR106" i="2"/>
  <c r="A136" i="2"/>
  <c r="B137" i="2"/>
  <c r="C136" i="2"/>
  <c r="Q137" i="2"/>
  <c r="P138" i="2"/>
  <c r="D137" i="2"/>
  <c r="R137" i="2"/>
  <c r="O137" i="2"/>
  <c r="E135" i="2"/>
  <c r="F135" i="2"/>
  <c r="E104" i="2"/>
  <c r="F104" i="2"/>
  <c r="S136" i="2"/>
  <c r="T136" i="2"/>
  <c r="AG135" i="2"/>
  <c r="AH135" i="2"/>
  <c r="Q104" i="2"/>
  <c r="P105" i="2"/>
  <c r="O104" i="2"/>
  <c r="AF104" i="2"/>
  <c r="AG104" i="2" s="1"/>
  <c r="AT104" i="2"/>
  <c r="AU104" i="2" s="1"/>
  <c r="AV135" i="2"/>
  <c r="AU135" i="2"/>
  <c r="E168" i="2"/>
  <c r="F168" i="2"/>
  <c r="AT169" i="2"/>
  <c r="AR170" i="2"/>
  <c r="AS169" i="2"/>
  <c r="AD171" i="2"/>
  <c r="AE170" i="2"/>
  <c r="AF170" i="2"/>
  <c r="AD106" i="2"/>
  <c r="AC105" i="2"/>
  <c r="AE105" i="2"/>
  <c r="AU119" i="2"/>
  <c r="AV119" i="2"/>
  <c r="E35" i="2"/>
  <c r="F35" i="2"/>
  <c r="D35" i="2"/>
  <c r="B36" i="2"/>
  <c r="C35" i="2"/>
  <c r="S103" i="2"/>
  <c r="T103" i="2"/>
  <c r="AU168" i="2"/>
  <c r="AV168" i="2"/>
  <c r="AS136" i="2"/>
  <c r="AR137" i="2"/>
  <c r="AQ136" i="2"/>
  <c r="E69" i="2"/>
  <c r="D69" i="2"/>
  <c r="B70" i="2"/>
  <c r="C69" i="2"/>
  <c r="F69" i="2"/>
  <c r="C169" i="2"/>
  <c r="B170" i="2"/>
  <c r="D169" i="2"/>
  <c r="AV104" i="2" l="1"/>
  <c r="AH104" i="2"/>
  <c r="C170" i="2"/>
  <c r="B171" i="2"/>
  <c r="D170" i="2"/>
  <c r="AJ168" i="2"/>
  <c r="AJ164" i="2"/>
  <c r="AS106" i="2"/>
  <c r="AR107" i="2"/>
  <c r="E136" i="2"/>
  <c r="F136" i="2"/>
  <c r="AG136" i="2"/>
  <c r="AH136" i="2"/>
  <c r="E105" i="2"/>
  <c r="F105" i="2"/>
  <c r="AS137" i="2"/>
  <c r="AR138" i="2"/>
  <c r="AQ137" i="2"/>
  <c r="E169" i="2"/>
  <c r="F169" i="2"/>
  <c r="AD172" i="2"/>
  <c r="AE171" i="2"/>
  <c r="AF171" i="2"/>
  <c r="Q105" i="2"/>
  <c r="P106" i="2"/>
  <c r="O105" i="2"/>
  <c r="AF105" i="2"/>
  <c r="AG105" i="2" s="1"/>
  <c r="AT105" i="2"/>
  <c r="AU105" i="2" s="1"/>
  <c r="A137" i="2"/>
  <c r="B138" i="2"/>
  <c r="C137" i="2"/>
  <c r="D70" i="2"/>
  <c r="B71" i="2"/>
  <c r="C70" i="2"/>
  <c r="E70" i="2"/>
  <c r="F70" i="2"/>
  <c r="AT170" i="2"/>
  <c r="AS170" i="2"/>
  <c r="AR171" i="2"/>
  <c r="S137" i="2"/>
  <c r="T137" i="2"/>
  <c r="AC137" i="2"/>
  <c r="AF137" i="2"/>
  <c r="AE137" i="2"/>
  <c r="AD138" i="2"/>
  <c r="AT137" i="2"/>
  <c r="AU136" i="2"/>
  <c r="AV136" i="2"/>
  <c r="AG170" i="2"/>
  <c r="AH170" i="2"/>
  <c r="AJ163" i="2"/>
  <c r="AJ165" i="2" s="1"/>
  <c r="D36" i="2"/>
  <c r="B37" i="2"/>
  <c r="C36" i="2"/>
  <c r="F36" i="2"/>
  <c r="E36" i="2"/>
  <c r="AD107" i="2"/>
  <c r="AC106" i="2"/>
  <c r="AE106" i="2"/>
  <c r="AU169" i="2"/>
  <c r="AV169" i="2"/>
  <c r="S104" i="2"/>
  <c r="T104" i="2"/>
  <c r="Q138" i="2"/>
  <c r="P139" i="2"/>
  <c r="D138" i="2"/>
  <c r="R138" i="2"/>
  <c r="O138" i="2"/>
  <c r="B107" i="2"/>
  <c r="A106" i="2"/>
  <c r="C106" i="2"/>
  <c r="D106" i="2"/>
  <c r="AV105" i="2" l="1"/>
  <c r="B72" i="2"/>
  <c r="C71" i="2"/>
  <c r="D71" i="2"/>
  <c r="F71" i="2"/>
  <c r="E71" i="2"/>
  <c r="S105" i="2"/>
  <c r="T105" i="2"/>
  <c r="AG137" i="2"/>
  <c r="AH137" i="2"/>
  <c r="A138" i="2"/>
  <c r="B139" i="2"/>
  <c r="C138" i="2"/>
  <c r="AC138" i="2"/>
  <c r="AF138" i="2"/>
  <c r="AE138" i="2"/>
  <c r="AT138" i="2"/>
  <c r="AD139" i="2"/>
  <c r="E137" i="2"/>
  <c r="F137" i="2"/>
  <c r="B38" i="2"/>
  <c r="C37" i="2"/>
  <c r="D37" i="2"/>
  <c r="F37" i="2"/>
  <c r="E37" i="2"/>
  <c r="AJ166" i="2"/>
  <c r="AJ167" i="2"/>
  <c r="AR172" i="2"/>
  <c r="AT171" i="2"/>
  <c r="AS171" i="2"/>
  <c r="AG171" i="2"/>
  <c r="AH171" i="2"/>
  <c r="AS138" i="2"/>
  <c r="AR139" i="2"/>
  <c r="AQ138" i="2"/>
  <c r="AH105" i="2"/>
  <c r="C171" i="2"/>
  <c r="D171" i="2"/>
  <c r="B172" i="2"/>
  <c r="E106" i="2"/>
  <c r="F106" i="2"/>
  <c r="AS107" i="2"/>
  <c r="AR108" i="2"/>
  <c r="B108" i="2"/>
  <c r="A107" i="2"/>
  <c r="C107" i="2"/>
  <c r="D107" i="2"/>
  <c r="Q139" i="2"/>
  <c r="P140" i="2"/>
  <c r="D139" i="2"/>
  <c r="R139" i="2"/>
  <c r="O139" i="2"/>
  <c r="AD108" i="2"/>
  <c r="AC107" i="2"/>
  <c r="AE107" i="2"/>
  <c r="S138" i="2"/>
  <c r="T138" i="2"/>
  <c r="AU170" i="2"/>
  <c r="AV170" i="2"/>
  <c r="Q106" i="2"/>
  <c r="P107" i="2"/>
  <c r="O106" i="2"/>
  <c r="AF106" i="2"/>
  <c r="AH106" i="2" s="1"/>
  <c r="AT106" i="2"/>
  <c r="AU106" i="2" s="1"/>
  <c r="AE172" i="2"/>
  <c r="AD173" i="2"/>
  <c r="AF172" i="2"/>
  <c r="AU137" i="2"/>
  <c r="AV137" i="2"/>
  <c r="E170" i="2"/>
  <c r="F170" i="2"/>
  <c r="AG106" i="2" l="1"/>
  <c r="E138" i="2"/>
  <c r="F138" i="2"/>
  <c r="F171" i="2"/>
  <c r="AU171" i="2"/>
  <c r="AV171" i="2"/>
  <c r="AC139" i="2"/>
  <c r="AF139" i="2"/>
  <c r="AE139" i="2"/>
  <c r="AD140" i="2"/>
  <c r="AT139" i="2"/>
  <c r="A139" i="2"/>
  <c r="B140" i="2"/>
  <c r="C139" i="2"/>
  <c r="AH115" i="2"/>
  <c r="AS108" i="2"/>
  <c r="AR109" i="2"/>
  <c r="AG172" i="2"/>
  <c r="AH172" i="2"/>
  <c r="E107" i="2"/>
  <c r="F107" i="2"/>
  <c r="Q107" i="2"/>
  <c r="P108" i="2"/>
  <c r="O107" i="2"/>
  <c r="AF107" i="2"/>
  <c r="AG107" i="2" s="1"/>
  <c r="AT107" i="2"/>
  <c r="AV107" i="2" s="1"/>
  <c r="AD109" i="2"/>
  <c r="AC108" i="2"/>
  <c r="AE108" i="2"/>
  <c r="Q140" i="2"/>
  <c r="S140" i="2" s="1"/>
  <c r="P141" i="2"/>
  <c r="D140" i="2"/>
  <c r="R140" i="2"/>
  <c r="O140" i="2"/>
  <c r="AV115" i="2"/>
  <c r="AV106" i="2"/>
  <c r="AS139" i="2"/>
  <c r="AR140" i="2"/>
  <c r="AQ139" i="2"/>
  <c r="F38" i="2"/>
  <c r="E38" i="2"/>
  <c r="B39" i="2"/>
  <c r="D38" i="2"/>
  <c r="C38" i="2"/>
  <c r="AD174" i="2"/>
  <c r="AF173" i="2"/>
  <c r="AE173" i="2"/>
  <c r="AG173" i="2" s="1"/>
  <c r="V131" i="2"/>
  <c r="V135" i="2"/>
  <c r="S106" i="2"/>
  <c r="T106" i="2"/>
  <c r="S139" i="2"/>
  <c r="V130" i="2"/>
  <c r="T139" i="2"/>
  <c r="B109" i="2"/>
  <c r="A108" i="2"/>
  <c r="C108" i="2"/>
  <c r="D108" i="2"/>
  <c r="D172" i="2"/>
  <c r="C172" i="2"/>
  <c r="B173" i="2"/>
  <c r="AU138" i="2"/>
  <c r="AV138" i="2"/>
  <c r="AR173" i="2"/>
  <c r="AS172" i="2"/>
  <c r="AT172" i="2"/>
  <c r="AG138" i="2"/>
  <c r="AH138" i="2"/>
  <c r="F72" i="2"/>
  <c r="E72" i="2"/>
  <c r="B73" i="2"/>
  <c r="D72" i="2"/>
  <c r="C72" i="2"/>
  <c r="AU107" i="2" l="1"/>
  <c r="F172" i="2"/>
  <c r="AD110" i="2"/>
  <c r="AC109" i="2"/>
  <c r="AE109" i="2"/>
  <c r="E139" i="2"/>
  <c r="F139" i="2"/>
  <c r="AC140" i="2"/>
  <c r="AF140" i="2"/>
  <c r="AH140" i="2" s="1"/>
  <c r="AE140" i="2"/>
  <c r="AT140" i="2"/>
  <c r="AD141" i="2"/>
  <c r="E73" i="2"/>
  <c r="F73" i="2"/>
  <c r="D73" i="2"/>
  <c r="B74" i="2"/>
  <c r="C73" i="2"/>
  <c r="B110" i="2"/>
  <c r="A109" i="2"/>
  <c r="C109" i="2"/>
  <c r="D109" i="2"/>
  <c r="AU139" i="2"/>
  <c r="AV139" i="2"/>
  <c r="Q108" i="2"/>
  <c r="P109" i="2"/>
  <c r="O108" i="2"/>
  <c r="T108" i="2"/>
  <c r="AF108" i="2"/>
  <c r="AH108" i="2" s="1"/>
  <c r="AT108" i="2"/>
  <c r="AV108" i="2" s="1"/>
  <c r="A140" i="2"/>
  <c r="B141" i="2"/>
  <c r="C140" i="2"/>
  <c r="E140" i="2" s="1"/>
  <c r="AG139" i="2"/>
  <c r="AH139" i="2"/>
  <c r="AS173" i="2"/>
  <c r="AR174" i="2"/>
  <c r="AT173" i="2"/>
  <c r="V133" i="2"/>
  <c r="V134" i="2"/>
  <c r="Q141" i="2"/>
  <c r="P142" i="2"/>
  <c r="D141" i="2"/>
  <c r="R141" i="2"/>
  <c r="O141" i="2"/>
  <c r="T140" i="2"/>
  <c r="E39" i="2"/>
  <c r="F39" i="2"/>
  <c r="D39" i="2"/>
  <c r="B40" i="2"/>
  <c r="C39" i="2"/>
  <c r="AH116" i="2"/>
  <c r="T115" i="2"/>
  <c r="S107" i="2"/>
  <c r="T107" i="2"/>
  <c r="AH173" i="2"/>
  <c r="AH107" i="2"/>
  <c r="AS140" i="2"/>
  <c r="AR141" i="2"/>
  <c r="AQ140" i="2"/>
  <c r="AV173" i="2"/>
  <c r="AU172" i="2"/>
  <c r="AV172" i="2"/>
  <c r="B174" i="2"/>
  <c r="D173" i="2"/>
  <c r="C173" i="2"/>
  <c r="F173" i="2" s="1"/>
  <c r="E108" i="2"/>
  <c r="F108" i="2"/>
  <c r="V132" i="2"/>
  <c r="AE174" i="2"/>
  <c r="AF174" i="2"/>
  <c r="AD175" i="2"/>
  <c r="AS109" i="2"/>
  <c r="AR110" i="2"/>
  <c r="AU140" i="2" l="1"/>
  <c r="AG108" i="2"/>
  <c r="S108" i="2"/>
  <c r="S141" i="2"/>
  <c r="T141" i="2"/>
  <c r="AH117" i="2"/>
  <c r="AU173" i="2"/>
  <c r="AX163" i="2"/>
  <c r="A141" i="2"/>
  <c r="B142" i="2"/>
  <c r="C141" i="2"/>
  <c r="AV140" i="2"/>
  <c r="E109" i="2"/>
  <c r="F109" i="2"/>
  <c r="D74" i="2"/>
  <c r="B75" i="2"/>
  <c r="C74" i="2"/>
  <c r="F74" i="2"/>
  <c r="E74" i="2"/>
  <c r="AC141" i="2"/>
  <c r="AF141" i="2"/>
  <c r="AE141" i="2"/>
  <c r="AD142" i="2"/>
  <c r="AT141" i="2"/>
  <c r="AR175" i="2"/>
  <c r="AT174" i="2"/>
  <c r="AS174" i="2"/>
  <c r="Q109" i="2"/>
  <c r="P110" i="2"/>
  <c r="O109" i="2"/>
  <c r="AF109" i="2"/>
  <c r="AH109" i="2" s="1"/>
  <c r="AT109" i="2"/>
  <c r="AU109" i="2" s="1"/>
  <c r="AD111" i="2"/>
  <c r="AC110" i="2"/>
  <c r="AE110" i="2"/>
  <c r="AS110" i="2"/>
  <c r="AR111" i="2"/>
  <c r="F140" i="2"/>
  <c r="AG174" i="2"/>
  <c r="AH174" i="2"/>
  <c r="AD176" i="2"/>
  <c r="AF175" i="2"/>
  <c r="AE175" i="2"/>
  <c r="C174" i="2"/>
  <c r="F174" i="2" s="1"/>
  <c r="B175" i="2"/>
  <c r="D174" i="2"/>
  <c r="AS141" i="2"/>
  <c r="AR142" i="2"/>
  <c r="AQ141" i="2"/>
  <c r="D40" i="2"/>
  <c r="B41" i="2"/>
  <c r="C40" i="2"/>
  <c r="F40" i="2"/>
  <c r="E40" i="2"/>
  <c r="Q142" i="2"/>
  <c r="P143" i="2"/>
  <c r="D142" i="2"/>
  <c r="R142" i="2"/>
  <c r="O142" i="2"/>
  <c r="AX168" i="2"/>
  <c r="AX164" i="2"/>
  <c r="AU108" i="2"/>
  <c r="B111" i="2"/>
  <c r="A110" i="2"/>
  <c r="C110" i="2"/>
  <c r="D110" i="2"/>
  <c r="F110" i="2" s="1"/>
  <c r="AG140" i="2"/>
  <c r="V101" i="2" l="1"/>
  <c r="V102" i="2"/>
  <c r="AG109" i="2"/>
  <c r="AS142" i="2"/>
  <c r="AR143" i="2"/>
  <c r="AQ142" i="2"/>
  <c r="AS175" i="2"/>
  <c r="AR176" i="2"/>
  <c r="AT175" i="2"/>
  <c r="AU141" i="2"/>
  <c r="AV141" i="2"/>
  <c r="AD112" i="2"/>
  <c r="AC111" i="2"/>
  <c r="AE111" i="2"/>
  <c r="S109" i="2"/>
  <c r="T109" i="2"/>
  <c r="B76" i="2"/>
  <c r="C75" i="2"/>
  <c r="F75" i="2"/>
  <c r="D75" i="2"/>
  <c r="E75" i="2"/>
  <c r="AX165" i="2"/>
  <c r="E110" i="2"/>
  <c r="AS111" i="2"/>
  <c r="AR112" i="2"/>
  <c r="Q110" i="2"/>
  <c r="P111" i="2"/>
  <c r="O110" i="2"/>
  <c r="AF110" i="2"/>
  <c r="AG110" i="2" s="1"/>
  <c r="AT110" i="2"/>
  <c r="AU110" i="2" s="1"/>
  <c r="B112" i="2"/>
  <c r="A111" i="2"/>
  <c r="C111" i="2"/>
  <c r="D111" i="2"/>
  <c r="S142" i="2"/>
  <c r="T142" i="2"/>
  <c r="B42" i="2"/>
  <c r="C41" i="2"/>
  <c r="D41" i="2"/>
  <c r="F41" i="2"/>
  <c r="E41" i="2"/>
  <c r="AV109" i="2"/>
  <c r="AU174" i="2"/>
  <c r="AV174" i="2"/>
  <c r="AC142" i="2"/>
  <c r="AF142" i="2"/>
  <c r="AE142" i="2"/>
  <c r="AD143" i="2"/>
  <c r="AT142" i="2"/>
  <c r="E141" i="2"/>
  <c r="F141" i="2"/>
  <c r="AX167" i="2"/>
  <c r="AX166" i="2"/>
  <c r="Q143" i="2"/>
  <c r="P144" i="2"/>
  <c r="D143" i="2"/>
  <c r="R143" i="2"/>
  <c r="O143" i="2"/>
  <c r="AG175" i="2"/>
  <c r="AH175" i="2"/>
  <c r="B176" i="2"/>
  <c r="D175" i="2"/>
  <c r="C175" i="2"/>
  <c r="F175" i="2" s="1"/>
  <c r="AD177" i="2"/>
  <c r="AF176" i="2"/>
  <c r="AE176" i="2"/>
  <c r="AH118" i="2"/>
  <c r="AG141" i="2"/>
  <c r="AH141" i="2"/>
  <c r="A142" i="2"/>
  <c r="B143" i="2"/>
  <c r="C142" i="2"/>
  <c r="AV110" i="2" l="1"/>
  <c r="AH110" i="2"/>
  <c r="Q144" i="2"/>
  <c r="P145" i="2"/>
  <c r="D144" i="2"/>
  <c r="R144" i="2"/>
  <c r="O144" i="2"/>
  <c r="AG142" i="2"/>
  <c r="AH142" i="2"/>
  <c r="AS112" i="2"/>
  <c r="AR113" i="2"/>
  <c r="E142" i="2"/>
  <c r="AG176" i="2"/>
  <c r="AH176" i="2"/>
  <c r="S143" i="2"/>
  <c r="T143" i="2"/>
  <c r="A143" i="2"/>
  <c r="B144" i="2"/>
  <c r="C143" i="2"/>
  <c r="B177" i="2"/>
  <c r="D176" i="2"/>
  <c r="C176" i="2"/>
  <c r="F176" i="2" s="1"/>
  <c r="Q111" i="2"/>
  <c r="P112" i="2"/>
  <c r="O111" i="2"/>
  <c r="AF111" i="2"/>
  <c r="AG111" i="2" s="1"/>
  <c r="AT111" i="2"/>
  <c r="AV111" i="2" s="1"/>
  <c r="F76" i="2"/>
  <c r="C76" i="2"/>
  <c r="E76" i="2"/>
  <c r="D76" i="2"/>
  <c r="B77" i="2"/>
  <c r="AS143" i="2"/>
  <c r="AR144" i="2"/>
  <c r="AQ143" i="2"/>
  <c r="AU175" i="2"/>
  <c r="AV175" i="2"/>
  <c r="B113" i="2"/>
  <c r="A112" i="2"/>
  <c r="C112" i="2"/>
  <c r="D112" i="2"/>
  <c r="AH119" i="2"/>
  <c r="AD178" i="2"/>
  <c r="AF177" i="2"/>
  <c r="AE177" i="2"/>
  <c r="AC143" i="2"/>
  <c r="AF143" i="2"/>
  <c r="AE143" i="2"/>
  <c r="AD144" i="2"/>
  <c r="AT143" i="2"/>
  <c r="F42" i="2"/>
  <c r="B43" i="2"/>
  <c r="E42" i="2"/>
  <c r="D42" i="2"/>
  <c r="C42" i="2"/>
  <c r="E111" i="2"/>
  <c r="F111" i="2"/>
  <c r="S110" i="2"/>
  <c r="T110" i="2"/>
  <c r="AD113" i="2"/>
  <c r="AC112" i="2"/>
  <c r="AE112" i="2"/>
  <c r="AR177" i="2"/>
  <c r="AT176" i="2"/>
  <c r="AS176" i="2"/>
  <c r="AU142" i="2"/>
  <c r="AV142" i="2"/>
  <c r="AH111" i="2" l="1"/>
  <c r="AU111" i="2"/>
  <c r="AU176" i="2"/>
  <c r="AV176" i="2"/>
  <c r="E112" i="2"/>
  <c r="F112" i="2"/>
  <c r="AS144" i="2"/>
  <c r="AR145" i="2"/>
  <c r="AQ144" i="2"/>
  <c r="B178" i="2"/>
  <c r="D177" i="2"/>
  <c r="C177" i="2"/>
  <c r="F177" i="2" s="1"/>
  <c r="AD114" i="2"/>
  <c r="AC113" i="2"/>
  <c r="AE113" i="2"/>
  <c r="AC144" i="2"/>
  <c r="AF144" i="2"/>
  <c r="AE144" i="2"/>
  <c r="AD145" i="2"/>
  <c r="AT144" i="2"/>
  <c r="AG143" i="2"/>
  <c r="AJ130" i="2"/>
  <c r="AH143" i="2"/>
  <c r="E77" i="2"/>
  <c r="D77" i="2"/>
  <c r="F77" i="2"/>
  <c r="B78" i="2"/>
  <c r="C77" i="2"/>
  <c r="S111" i="2"/>
  <c r="T111" i="2"/>
  <c r="A144" i="2"/>
  <c r="B145" i="2"/>
  <c r="C144" i="2"/>
  <c r="AR114" i="2"/>
  <c r="AS113" i="2"/>
  <c r="Q145" i="2"/>
  <c r="P146" i="2"/>
  <c r="D145" i="2"/>
  <c r="R145" i="2"/>
  <c r="O145" i="2"/>
  <c r="AG177" i="2"/>
  <c r="AH177" i="2"/>
  <c r="AU143" i="2"/>
  <c r="AV143" i="2"/>
  <c r="Q112" i="2"/>
  <c r="P113" i="2"/>
  <c r="O112" i="2"/>
  <c r="AF112" i="2"/>
  <c r="AG112" i="2" s="1"/>
  <c r="AT112" i="2"/>
  <c r="AU112" i="2" s="1"/>
  <c r="E143" i="2"/>
  <c r="F143" i="2"/>
  <c r="AS177" i="2"/>
  <c r="AR178" i="2"/>
  <c r="AT177" i="2"/>
  <c r="E43" i="2"/>
  <c r="D43" i="2"/>
  <c r="B44" i="2"/>
  <c r="C43" i="2"/>
  <c r="F43" i="2"/>
  <c r="B114" i="2"/>
  <c r="A113" i="2"/>
  <c r="C113" i="2"/>
  <c r="D113" i="2"/>
  <c r="V100" i="2"/>
  <c r="AJ135" i="2"/>
  <c r="AJ131" i="2"/>
  <c r="AE178" i="2"/>
  <c r="AD179" i="2"/>
  <c r="AF178" i="2"/>
  <c r="S144" i="2"/>
  <c r="T144" i="2"/>
  <c r="H103" i="2" l="1"/>
  <c r="H99" i="2"/>
  <c r="H100" i="2" s="1"/>
  <c r="AH112" i="2"/>
  <c r="AC114" i="2"/>
  <c r="AE114" i="2"/>
  <c r="AU144" i="2"/>
  <c r="AV144" i="2"/>
  <c r="E144" i="2"/>
  <c r="F144" i="2"/>
  <c r="AJ133" i="2"/>
  <c r="AJ134" i="2"/>
  <c r="AD180" i="2"/>
  <c r="AF179" i="2"/>
  <c r="AE179" i="2"/>
  <c r="A145" i="2"/>
  <c r="B146" i="2"/>
  <c r="C145" i="2"/>
  <c r="AG178" i="2"/>
  <c r="AH178" i="2"/>
  <c r="D44" i="2"/>
  <c r="E44" i="2"/>
  <c r="B45" i="2"/>
  <c r="C44" i="2"/>
  <c r="F44" i="2"/>
  <c r="AR179" i="2"/>
  <c r="AT178" i="2"/>
  <c r="AS178" i="2"/>
  <c r="Q113" i="2"/>
  <c r="P114" i="2"/>
  <c r="O113" i="2"/>
  <c r="AF113" i="2"/>
  <c r="AG113" i="2" s="1"/>
  <c r="AT113" i="2"/>
  <c r="AV113" i="2" s="1"/>
  <c r="D78" i="2"/>
  <c r="E78" i="2"/>
  <c r="B79" i="2"/>
  <c r="C78" i="2"/>
  <c r="F78" i="2"/>
  <c r="AV112" i="2"/>
  <c r="C178" i="2"/>
  <c r="D178" i="2"/>
  <c r="B179" i="2"/>
  <c r="S145" i="2"/>
  <c r="T145" i="2"/>
  <c r="AG144" i="2"/>
  <c r="AH144" i="2"/>
  <c r="AS145" i="2"/>
  <c r="AR146" i="2"/>
  <c r="AQ145" i="2"/>
  <c r="E113" i="2"/>
  <c r="F113" i="2"/>
  <c r="A114" i="2"/>
  <c r="C114" i="2"/>
  <c r="D114" i="2"/>
  <c r="AU177" i="2"/>
  <c r="AV177" i="2"/>
  <c r="S112" i="2"/>
  <c r="T112" i="2"/>
  <c r="Q146" i="2"/>
  <c r="P147" i="2"/>
  <c r="D146" i="2"/>
  <c r="R146" i="2"/>
  <c r="O146" i="2"/>
  <c r="AS114" i="2"/>
  <c r="AJ132" i="2"/>
  <c r="AC145" i="2"/>
  <c r="AF145" i="2"/>
  <c r="AE145" i="2"/>
  <c r="AD146" i="2"/>
  <c r="AT145" i="2"/>
  <c r="AJ98" i="2"/>
  <c r="H101" i="2" l="1"/>
  <c r="H102" i="2"/>
  <c r="AH113" i="2"/>
  <c r="AU113" i="2"/>
  <c r="AG145" i="2"/>
  <c r="AH145" i="2"/>
  <c r="E114" i="2"/>
  <c r="F114" i="2"/>
  <c r="F178" i="2"/>
  <c r="B80" i="2"/>
  <c r="C79" i="2"/>
  <c r="F79" i="2"/>
  <c r="E79" i="2"/>
  <c r="D79" i="2"/>
  <c r="B46" i="2"/>
  <c r="C45" i="2"/>
  <c r="F45" i="2"/>
  <c r="E45" i="2"/>
  <c r="D45" i="2"/>
  <c r="AG179" i="2"/>
  <c r="AH179" i="2"/>
  <c r="AD147" i="2"/>
  <c r="AC146" i="2"/>
  <c r="AF146" i="2"/>
  <c r="AE146" i="2"/>
  <c r="AT146" i="2"/>
  <c r="AQ146" i="2"/>
  <c r="AR147" i="2"/>
  <c r="AS146" i="2"/>
  <c r="AJ102" i="2"/>
  <c r="AJ101" i="2"/>
  <c r="O147" i="2"/>
  <c r="P148" i="2"/>
  <c r="Q147" i="2"/>
  <c r="D147" i="2"/>
  <c r="R147" i="2"/>
  <c r="AU145" i="2"/>
  <c r="AX130" i="2"/>
  <c r="AV145" i="2"/>
  <c r="O114" i="2"/>
  <c r="Q114" i="2"/>
  <c r="AF114" i="2"/>
  <c r="AG114" i="2" s="1"/>
  <c r="AT114" i="2"/>
  <c r="AU114" i="2" s="1"/>
  <c r="AR180" i="2"/>
  <c r="AS179" i="2"/>
  <c r="AT179" i="2"/>
  <c r="E145" i="2"/>
  <c r="F145" i="2"/>
  <c r="AU178" i="2"/>
  <c r="AV178" i="2"/>
  <c r="AX135" i="2"/>
  <c r="AX131" i="2"/>
  <c r="S146" i="2"/>
  <c r="T146" i="2"/>
  <c r="B180" i="2"/>
  <c r="D179" i="2"/>
  <c r="C179" i="2"/>
  <c r="F179" i="2" s="1"/>
  <c r="AJ103" i="2"/>
  <c r="AJ99" i="2"/>
  <c r="AJ100" i="2" s="1"/>
  <c r="S113" i="2"/>
  <c r="T113" i="2"/>
  <c r="A146" i="2"/>
  <c r="C146" i="2"/>
  <c r="AF180" i="2"/>
  <c r="AE180" i="2"/>
  <c r="AD181" i="2"/>
  <c r="AH114" i="2" l="1"/>
  <c r="AR181" i="2"/>
  <c r="AS180" i="2"/>
  <c r="AT180" i="2"/>
  <c r="O148" i="2"/>
  <c r="R148" i="2"/>
  <c r="P149" i="2"/>
  <c r="Q148" i="2"/>
  <c r="D148" i="2"/>
  <c r="AG146" i="2"/>
  <c r="AH146" i="2"/>
  <c r="AX134" i="2"/>
  <c r="AX133" i="2"/>
  <c r="AQ147" i="2"/>
  <c r="AR148" i="2"/>
  <c r="AS147" i="2"/>
  <c r="AF181" i="2"/>
  <c r="AD182" i="2"/>
  <c r="AE181" i="2"/>
  <c r="C147" i="2"/>
  <c r="B148" i="2"/>
  <c r="A147" i="2"/>
  <c r="D180" i="2"/>
  <c r="B181" i="2"/>
  <c r="C180" i="2"/>
  <c r="AV114" i="2"/>
  <c r="F46" i="2"/>
  <c r="C46" i="2"/>
  <c r="E46" i="2"/>
  <c r="D46" i="2"/>
  <c r="B47" i="2"/>
  <c r="S114" i="2"/>
  <c r="T114" i="2"/>
  <c r="E146" i="2"/>
  <c r="F146" i="2"/>
  <c r="AH180" i="2"/>
  <c r="AU179" i="2"/>
  <c r="AV179" i="2"/>
  <c r="AX132" i="2"/>
  <c r="S147" i="2"/>
  <c r="T147" i="2"/>
  <c r="AU146" i="2"/>
  <c r="AV146" i="2"/>
  <c r="AE147" i="2"/>
  <c r="AD148" i="2"/>
  <c r="AC147" i="2"/>
  <c r="AF147" i="2"/>
  <c r="AT147" i="2"/>
  <c r="F80" i="2"/>
  <c r="B81" i="2"/>
  <c r="E80" i="2"/>
  <c r="C80" i="2"/>
  <c r="D80" i="2"/>
  <c r="AH181" i="2" l="1"/>
  <c r="AG147" i="2"/>
  <c r="AH147" i="2"/>
  <c r="AF182" i="2"/>
  <c r="AE182" i="2"/>
  <c r="AH182" i="2" s="1"/>
  <c r="AD183" i="2"/>
  <c r="S148" i="2"/>
  <c r="T148" i="2"/>
  <c r="E47" i="2"/>
  <c r="D47" i="2"/>
  <c r="B48" i="2"/>
  <c r="C47" i="2"/>
  <c r="F47" i="2"/>
  <c r="AQ148" i="2"/>
  <c r="AS148" i="2"/>
  <c r="AR149" i="2"/>
  <c r="E81" i="2"/>
  <c r="D81" i="2"/>
  <c r="B82" i="2"/>
  <c r="C81" i="2"/>
  <c r="F81" i="2"/>
  <c r="F180" i="2"/>
  <c r="C148" i="2"/>
  <c r="B149" i="2"/>
  <c r="A148" i="2"/>
  <c r="P150" i="2"/>
  <c r="O149" i="2"/>
  <c r="R149" i="2"/>
  <c r="Q149" i="2"/>
  <c r="D149" i="2"/>
  <c r="AU180" i="2"/>
  <c r="AV180" i="2"/>
  <c r="AE148" i="2"/>
  <c r="AD149" i="2"/>
  <c r="AF148" i="2"/>
  <c r="AC148" i="2"/>
  <c r="AT148" i="2"/>
  <c r="D181" i="2"/>
  <c r="B182" i="2"/>
  <c r="C181" i="2"/>
  <c r="F181" i="2" s="1"/>
  <c r="E147" i="2"/>
  <c r="F147" i="2"/>
  <c r="AU147" i="2"/>
  <c r="AV147" i="2"/>
  <c r="AT181" i="2"/>
  <c r="AS181" i="2"/>
  <c r="AR182" i="2"/>
  <c r="S149" i="2" l="1"/>
  <c r="T149" i="2"/>
  <c r="AT182" i="2"/>
  <c r="AS182" i="2"/>
  <c r="AV182" i="2" s="1"/>
  <c r="AR183" i="2"/>
  <c r="D182" i="2"/>
  <c r="C182" i="2"/>
  <c r="F182" i="2" s="1"/>
  <c r="B183" i="2"/>
  <c r="E148" i="2"/>
  <c r="F148" i="2"/>
  <c r="D82" i="2"/>
  <c r="B83" i="2"/>
  <c r="C82" i="2"/>
  <c r="E82" i="2"/>
  <c r="F82" i="2"/>
  <c r="D48" i="2"/>
  <c r="E48" i="2"/>
  <c r="B49" i="2"/>
  <c r="C48" i="2"/>
  <c r="F48" i="2"/>
  <c r="AG148" i="2"/>
  <c r="AH148" i="2"/>
  <c r="C149" i="2"/>
  <c r="A149" i="2"/>
  <c r="AR150" i="2"/>
  <c r="AQ149" i="2"/>
  <c r="AS149" i="2"/>
  <c r="AU148" i="2"/>
  <c r="AV148" i="2"/>
  <c r="AU181" i="2"/>
  <c r="AV181" i="2"/>
  <c r="AE149" i="2"/>
  <c r="AD150" i="2"/>
  <c r="AF149" i="2"/>
  <c r="AC149" i="2"/>
  <c r="AT149" i="2"/>
  <c r="D150" i="2"/>
  <c r="O150" i="2"/>
  <c r="R150" i="2"/>
  <c r="Q150" i="2"/>
  <c r="AF183" i="2"/>
  <c r="AE183" i="2"/>
  <c r="E150" i="2" l="1"/>
  <c r="F150" i="2"/>
  <c r="AU149" i="2"/>
  <c r="AV149" i="2"/>
  <c r="E149" i="2"/>
  <c r="F149" i="2"/>
  <c r="AF150" i="2"/>
  <c r="AE150" i="2"/>
  <c r="AC150" i="2"/>
  <c r="AT150" i="2"/>
  <c r="AQ150" i="2"/>
  <c r="AS150" i="2"/>
  <c r="B84" i="2"/>
  <c r="C83" i="2"/>
  <c r="F83" i="2"/>
  <c r="E83" i="2"/>
  <c r="D83" i="2"/>
  <c r="D183" i="2"/>
  <c r="C183" i="2"/>
  <c r="S150" i="2"/>
  <c r="T150" i="2"/>
  <c r="AG149" i="2"/>
  <c r="AH149" i="2"/>
  <c r="AH183" i="2"/>
  <c r="B50" i="2"/>
  <c r="C49" i="2"/>
  <c r="F49" i="2"/>
  <c r="E49" i="2"/>
  <c r="D49" i="2"/>
  <c r="AT183" i="2"/>
  <c r="AS183" i="2"/>
  <c r="AV183" i="2" s="1"/>
  <c r="F50" i="2" l="1"/>
  <c r="E50" i="2"/>
  <c r="D50" i="2"/>
  <c r="C50" i="2"/>
  <c r="F84" i="2"/>
  <c r="E84" i="2"/>
  <c r="C84" i="2"/>
  <c r="D84" i="2"/>
  <c r="AU150" i="2"/>
  <c r="AV150" i="2"/>
  <c r="AG150" i="2"/>
  <c r="AH150" i="2"/>
  <c r="F183" i="2"/>
  <c r="R164" i="2" l="1"/>
  <c r="T161" i="2" s="1"/>
  <c r="Q164" i="2"/>
  <c r="P165" i="2"/>
  <c r="R165" i="2" s="1"/>
  <c r="P166" i="2" l="1"/>
  <c r="T164" i="2"/>
  <c r="T165" i="2"/>
  <c r="S164" i="2"/>
  <c r="Q166" i="2" l="1"/>
  <c r="R166" i="2"/>
  <c r="P167" i="2"/>
  <c r="S165" i="2"/>
  <c r="Q167" i="2" l="1"/>
  <c r="R167" i="2"/>
  <c r="P168" i="2"/>
  <c r="T184" i="2"/>
  <c r="S166" i="2"/>
  <c r="T166" i="2"/>
  <c r="R168" i="2" l="1"/>
  <c r="Q168" i="2"/>
  <c r="P169" i="2"/>
  <c r="S167" i="2"/>
  <c r="T167" i="2"/>
  <c r="S168" i="2" l="1"/>
  <c r="T168" i="2"/>
  <c r="R169" i="2"/>
  <c r="Q169" i="2"/>
  <c r="P170" i="2"/>
  <c r="R170" i="2" l="1"/>
  <c r="P171" i="2"/>
  <c r="Q170" i="2"/>
  <c r="S169" i="2"/>
  <c r="T169" i="2"/>
  <c r="S170" i="2" l="1"/>
  <c r="T170" i="2"/>
  <c r="R171" i="2"/>
  <c r="Q171" i="2"/>
  <c r="P172" i="2"/>
  <c r="S171" i="2" l="1"/>
  <c r="T171" i="2"/>
  <c r="R172" i="2"/>
  <c r="Q172" i="2"/>
  <c r="P173" i="2"/>
  <c r="S172" i="2" l="1"/>
  <c r="T172" i="2"/>
  <c r="R173" i="2"/>
  <c r="P174" i="2"/>
  <c r="Q173" i="2"/>
  <c r="T173" i="2" s="1"/>
  <c r="Q174" i="2" l="1"/>
  <c r="P175" i="2"/>
  <c r="R174" i="2"/>
  <c r="S173" i="2"/>
  <c r="S174" i="2" l="1"/>
  <c r="T174" i="2"/>
  <c r="R175" i="2"/>
  <c r="Q175" i="2"/>
  <c r="P176" i="2"/>
  <c r="S175" i="2" l="1"/>
  <c r="T175" i="2"/>
  <c r="Q176" i="2"/>
  <c r="R176" i="2"/>
  <c r="P177" i="2"/>
  <c r="S176" i="2" l="1"/>
  <c r="T176" i="2"/>
  <c r="R177" i="2"/>
  <c r="P178" i="2"/>
  <c r="Q177" i="2"/>
  <c r="R178" i="2" l="1"/>
  <c r="Q178" i="2"/>
  <c r="P179" i="2"/>
  <c r="S177" i="2"/>
  <c r="T177" i="2"/>
  <c r="P180" i="2" l="1"/>
  <c r="R179" i="2"/>
  <c r="Q179" i="2"/>
  <c r="S178" i="2"/>
  <c r="T178" i="2"/>
  <c r="R180" i="2" l="1"/>
  <c r="Q180" i="2"/>
  <c r="P181" i="2"/>
  <c r="S179" i="2"/>
  <c r="T179" i="2"/>
  <c r="P182" i="2" l="1"/>
  <c r="R181" i="2"/>
  <c r="Q181" i="2"/>
  <c r="S180" i="2"/>
  <c r="T180" i="2"/>
  <c r="S181" i="2" l="1"/>
  <c r="T181" i="2"/>
  <c r="Q182" i="2"/>
  <c r="R182" i="2"/>
  <c r="P183" i="2"/>
  <c r="S182" i="2" l="1"/>
  <c r="T182" i="2"/>
  <c r="R183" i="2"/>
  <c r="Q183" i="2"/>
  <c r="S183" i="2" l="1"/>
  <c r="T183" i="2"/>
</calcChain>
</file>

<file path=xl/sharedStrings.xml><?xml version="1.0" encoding="utf-8"?>
<sst xmlns="http://schemas.openxmlformats.org/spreadsheetml/2006/main" count="430" uniqueCount="85">
  <si>
    <t>NOTE NCE/CE often WRONG here</t>
  </si>
  <si>
    <t xml:space="preserve">SOLVER to find right constant.  4/24/21.  </t>
  </si>
  <si>
    <t xml:space="preserve">Use solver.  </t>
  </si>
  <si>
    <t>Set value aiming for (A)</t>
  </si>
  <si>
    <t>solver to start predation at target level</t>
  </si>
  <si>
    <t>Highlight cell contstructed to miniimize (B)</t>
  </si>
  <si>
    <t>A</t>
  </si>
  <si>
    <t>In solver point to cell that is modified "pred constant"</t>
  </si>
  <si>
    <t>B</t>
  </si>
  <si>
    <t>I.  Predator foraging mode.</t>
  </si>
  <si>
    <t xml:space="preserve">Looking at Werner and Anholt, I should be able to depect different predator foraging modes. </t>
  </si>
  <si>
    <t>See their Fig. 1.</t>
  </si>
  <si>
    <t>Encounter rate equation:  Z = 2rN*sqrt(v^2 + s^2).  s = prey speed, v = pred speed.  N is pred density, r is pred perception radius.</t>
  </si>
  <si>
    <t>encouter rate</t>
  </si>
  <si>
    <t>v</t>
  </si>
  <si>
    <t>k</t>
  </si>
  <si>
    <t>s</t>
  </si>
  <si>
    <t>Use the encounter rate model to determine the trait-predation relationship. Trait = prey speed.</t>
  </si>
  <si>
    <t>Can start at s=1.  Can reset initial predation rates.</t>
  </si>
  <si>
    <t xml:space="preserve">2.  Costs. </t>
  </si>
  <si>
    <t>Also as in Werner and Anholt, use a Type II curve for cost curve.  Diminishing returns at fast speed.</t>
  </si>
  <si>
    <t>gain = s*R/ (1 + s*h*R)</t>
  </si>
  <si>
    <t>h</t>
  </si>
  <si>
    <t>R</t>
  </si>
  <si>
    <t>Combine 1 and 2.  Need to reverse the order (low S to high S)</t>
  </si>
  <si>
    <t xml:space="preserve"> </t>
  </si>
  <si>
    <t>1)  Modify the predator mode with no limiting returns</t>
  </si>
  <si>
    <t xml:space="preserve">HERE:  4/25  Have 4 pairs.  Modifying to make work in overall anlaysis. </t>
  </si>
  <si>
    <t>2)  Double the mortality curve relative to #1.  Use same predator constant (paste in)</t>
  </si>
  <si>
    <t>3)  Modify the predator mode with strong limiting returns</t>
  </si>
  <si>
    <t>No Pred</t>
  </si>
  <si>
    <t>P effect</t>
  </si>
  <si>
    <t>w/Pred</t>
  </si>
  <si>
    <t>2x2</t>
  </si>
  <si>
    <t>cost constant</t>
  </si>
  <si>
    <t>K</t>
  </si>
  <si>
    <t>pred constant</t>
  </si>
  <si>
    <t>mult factor</t>
  </si>
  <si>
    <t>trait</t>
  </si>
  <si>
    <t>speed</t>
  </si>
  <si>
    <t>fitness-w/o P</t>
  </si>
  <si>
    <t>predation effect on fitness</t>
  </si>
  <si>
    <t>fitness-w/pred</t>
  </si>
  <si>
    <t>NCE/CE</t>
  </si>
  <si>
    <t>NCE</t>
  </si>
  <si>
    <t>CE</t>
  </si>
  <si>
    <t>Fitness</t>
  </si>
  <si>
    <t>Change Fit (if change)</t>
  </si>
  <si>
    <t>Change CE w/pred present if change</t>
  </si>
  <si>
    <t>diminishing returns.</t>
  </si>
  <si>
    <t>This shows connection between type II response --</t>
  </si>
  <si>
    <t>And the predator stategy!</t>
  </si>
  <si>
    <t>5/1/2021</t>
  </si>
  <si>
    <t>Start with sheet from GraphModel_Trait(CE)_4_24_21.xlsx</t>
  </si>
  <si>
    <t>Making figures for NSF Yellowstone proposal.</t>
  </si>
  <si>
    <t>Trait</t>
  </si>
  <si>
    <t>Speed</t>
  </si>
  <si>
    <t>Pred</t>
  </si>
  <si>
    <t>Growth</t>
  </si>
  <si>
    <t>P factor</t>
  </si>
  <si>
    <t>C</t>
  </si>
  <si>
    <t>5/3/21.</t>
  </si>
  <si>
    <t>For each of three different combinations, plug in different predator densities.</t>
  </si>
  <si>
    <t>NCE/(NCE+CE)</t>
  </si>
  <si>
    <t>na</t>
  </si>
  <si>
    <t>"set objective</t>
  </si>
  <si>
    <t>by changing variable cells</t>
  </si>
  <si>
    <t>Fig. 3</t>
  </si>
  <si>
    <t>7/17/21 -- Fug 5a</t>
  </si>
  <si>
    <t>7/17/21.  REMAKE fig 3</t>
  </si>
  <si>
    <t>To 1/2 pred density:  change 0.9 to 0.45</t>
  </si>
  <si>
    <t>Set to minimize the yellow square (it was not 0 to start with) by changing red square</t>
  </si>
  <si>
    <t>I'm having trouble with how I did this.  I don't know what the left hand colum is.</t>
  </si>
  <si>
    <t>I don't get the K -- its used but may be 'overruled" by the pred constant.   I would just need to go through to remember</t>
  </si>
  <si>
    <t xml:space="preserve">This figure was in the proposal draft, but it was not in this file, so I am remaking.  Not sure where the old figures are!   </t>
  </si>
  <si>
    <t>7/17/21-Fig 5b</t>
  </si>
  <si>
    <t>7/17/21-Fig 5c</t>
  </si>
  <si>
    <t>CE rel to Fig 3</t>
  </si>
  <si>
    <t>NCE rel to Fig 3</t>
  </si>
  <si>
    <t>speed (1-trait)</t>
  </si>
  <si>
    <t>5c</t>
  </si>
  <si>
    <t>5b</t>
  </si>
  <si>
    <t>5a</t>
  </si>
  <si>
    <t>NCE rel to 5a</t>
  </si>
  <si>
    <t>CE rel to 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</si>
</sst>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26"/>
      <color indexed="10"/>
      <name val="Arial"/>
      <family val="2"/>
    </font>
    <font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0" fontId="2" fillId="0" borderId="0" xfId="1" applyFont="1"/>
    <xf numFmtId="0" fontId="0" fillId="0" borderId="0" xfId="0" applyFill="1"/>
    <xf numFmtId="0" fontId="1" fillId="0" borderId="0" xfId="1" applyFill="1"/>
    <xf numFmtId="0" fontId="1" fillId="0" borderId="0" xfId="1" applyFont="1" applyFill="1"/>
    <xf numFmtId="0" fontId="3" fillId="0" borderId="0" xfId="1" applyFont="1"/>
    <xf numFmtId="14" fontId="1" fillId="0" borderId="0" xfId="1" quotePrefix="1" applyNumberFormat="1"/>
    <xf numFmtId="0" fontId="1" fillId="2" borderId="0" xfId="1" applyFill="1"/>
    <xf numFmtId="2" fontId="0" fillId="0" borderId="0" xfId="0" applyNumberFormat="1"/>
    <xf numFmtId="2" fontId="1" fillId="0" borderId="0" xfId="1" applyNumberFormat="1" applyFill="1"/>
    <xf numFmtId="2" fontId="1" fillId="0" borderId="0" xfId="1" applyNumberFormat="1"/>
    <xf numFmtId="14" fontId="0" fillId="0" borderId="0" xfId="0" applyNumberFormat="1"/>
    <xf numFmtId="0" fontId="1" fillId="3" borderId="0" xfId="1" applyFill="1"/>
    <xf numFmtId="0" fontId="1" fillId="4" borderId="0" xfId="1" applyFill="1"/>
    <xf numFmtId="0" fontId="1" fillId="5" borderId="0" xfId="1" applyFill="1"/>
    <xf numFmtId="14" fontId="1" fillId="5" borderId="0" xfId="1" applyNumberFormat="1" applyFill="1"/>
  </cellXfs>
  <cellStyles count="2">
    <cellStyle name="Normal" xfId="0" builtinId="0"/>
    <cellStyle name="Normal 2" xfId="1"/>
  </cellStyles>
  <dxfs count="1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11154169589262"/>
          <c:y val="6.0483930510421766E-2"/>
          <c:w val="0.81179452912509309"/>
          <c:h val="0.840726634094862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'ForageMode (2)'!$C$29</c:f>
              <c:strCache>
                <c:ptCount val="1"/>
                <c:pt idx="0">
                  <c:v>v = 0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'ForageMode (2)'!$B$30:$B$50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'ForageMode (2)'!$C$30:$C$50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4F-4A99-B9A7-CE987E34BB09}"/>
            </c:ext>
          </c:extLst>
        </c:ser>
        <c:ser>
          <c:idx val="1"/>
          <c:order val="1"/>
          <c:tx>
            <c:strRef>
              <c:f>'ForageMode (2)'!$D$29</c:f>
              <c:strCache>
                <c:ptCount val="1"/>
                <c:pt idx="0">
                  <c:v>v = 0.5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'ForageMode (2)'!$B$30:$B$50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'ForageMode (2)'!$D$30:$D$50</c:f>
              <c:numCache>
                <c:formatCode>General</c:formatCode>
                <c:ptCount val="21"/>
                <c:pt idx="0">
                  <c:v>0.5</c:v>
                </c:pt>
                <c:pt idx="1">
                  <c:v>0.50249378105604448</c:v>
                </c:pt>
                <c:pt idx="2">
                  <c:v>0.50990195135927852</c:v>
                </c:pt>
                <c:pt idx="3">
                  <c:v>0.52201532544552753</c:v>
                </c:pt>
                <c:pt idx="4">
                  <c:v>0.53851648071345048</c:v>
                </c:pt>
                <c:pt idx="5">
                  <c:v>0.55901699437494745</c:v>
                </c:pt>
                <c:pt idx="6">
                  <c:v>0.58309518948452999</c:v>
                </c:pt>
                <c:pt idx="7">
                  <c:v>0.61032778078668515</c:v>
                </c:pt>
                <c:pt idx="8">
                  <c:v>0.6403124237432849</c:v>
                </c:pt>
                <c:pt idx="9">
                  <c:v>0.67268120235368545</c:v>
                </c:pt>
                <c:pt idx="10">
                  <c:v>0.70710678118654746</c:v>
                </c:pt>
                <c:pt idx="11">
                  <c:v>0.7433034373659253</c:v>
                </c:pt>
                <c:pt idx="12">
                  <c:v>0.78102496759066542</c:v>
                </c:pt>
                <c:pt idx="13">
                  <c:v>0.82006097334283634</c:v>
                </c:pt>
                <c:pt idx="14">
                  <c:v>0.86023252670426276</c:v>
                </c:pt>
                <c:pt idx="15">
                  <c:v>0.90138781886599739</c:v>
                </c:pt>
                <c:pt idx="16">
                  <c:v>0.94339811320566047</c:v>
                </c:pt>
                <c:pt idx="17">
                  <c:v>0.98615414616580122</c:v>
                </c:pt>
                <c:pt idx="18">
                  <c:v>1.0295630140987002</c:v>
                </c:pt>
                <c:pt idx="19">
                  <c:v>1.0735455276791948</c:v>
                </c:pt>
                <c:pt idx="20">
                  <c:v>1.1180339887498951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4F-4A99-B9A7-CE987E34BB09}"/>
            </c:ext>
          </c:extLst>
        </c:ser>
        <c:ser>
          <c:idx val="2"/>
          <c:order val="2"/>
          <c:tx>
            <c:strRef>
              <c:f>'ForageMode (2)'!$E$29</c:f>
              <c:strCache>
                <c:ptCount val="1"/>
                <c:pt idx="0">
                  <c:v>v = 1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'ForageMode (2)'!$B$30:$B$50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'ForageMode (2)'!$E$30:$E$50</c:f>
              <c:numCache>
                <c:formatCode>General</c:formatCode>
                <c:ptCount val="21"/>
                <c:pt idx="0">
                  <c:v>1</c:v>
                </c:pt>
                <c:pt idx="1">
                  <c:v>1.0012492197250393</c:v>
                </c:pt>
                <c:pt idx="2">
                  <c:v>1.004987562112089</c:v>
                </c:pt>
                <c:pt idx="3">
                  <c:v>1.0111874208078342</c:v>
                </c:pt>
                <c:pt idx="4">
                  <c:v>1.019803902718557</c:v>
                </c:pt>
                <c:pt idx="5">
                  <c:v>1.0307764064044151</c:v>
                </c:pt>
                <c:pt idx="6">
                  <c:v>1.0440306508910551</c:v>
                </c:pt>
                <c:pt idx="7">
                  <c:v>1.0594810050208545</c:v>
                </c:pt>
                <c:pt idx="8">
                  <c:v>1.0770329614269007</c:v>
                </c:pt>
                <c:pt idx="9">
                  <c:v>1.0965856099730653</c:v>
                </c:pt>
                <c:pt idx="10">
                  <c:v>1.1180339887498949</c:v>
                </c:pt>
                <c:pt idx="11">
                  <c:v>1.1412712210513327</c:v>
                </c:pt>
                <c:pt idx="12">
                  <c:v>1.16619037896906</c:v>
                </c:pt>
                <c:pt idx="13">
                  <c:v>1.1926860441876563</c:v>
                </c:pt>
                <c:pt idx="14">
                  <c:v>1.2206555615733703</c:v>
                </c:pt>
                <c:pt idx="15">
                  <c:v>1.25</c:v>
                </c:pt>
                <c:pt idx="16">
                  <c:v>1.2806248474865698</c:v>
                </c:pt>
                <c:pt idx="17">
                  <c:v>1.3124404748406688</c:v>
                </c:pt>
                <c:pt idx="18">
                  <c:v>1.3453624047073711</c:v>
                </c:pt>
                <c:pt idx="19">
                  <c:v>1.3793114224133725</c:v>
                </c:pt>
                <c:pt idx="20">
                  <c:v>1.4142135623730951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4F-4A99-B9A7-CE987E34BB09}"/>
            </c:ext>
          </c:extLst>
        </c:ser>
        <c:ser>
          <c:idx val="3"/>
          <c:order val="3"/>
          <c:tx>
            <c:strRef>
              <c:f>'ForageMode (2)'!$F$29</c:f>
              <c:strCache>
                <c:ptCount val="1"/>
                <c:pt idx="0">
                  <c:v>v = 2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'ForageMode (2)'!$B$30:$B$50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'ForageMode (2)'!$F$30:$F$50</c:f>
              <c:numCache>
                <c:formatCode>General</c:formatCode>
                <c:ptCount val="21"/>
                <c:pt idx="0">
                  <c:v>2</c:v>
                </c:pt>
                <c:pt idx="1">
                  <c:v>2.0006249023742559</c:v>
                </c:pt>
                <c:pt idx="2">
                  <c:v>2.0024984394500787</c:v>
                </c:pt>
                <c:pt idx="3">
                  <c:v>2.0056171120131578</c:v>
                </c:pt>
                <c:pt idx="4">
                  <c:v>2.0099751242241779</c:v>
                </c:pt>
                <c:pt idx="5">
                  <c:v>2.0155644370746373</c:v>
                </c:pt>
                <c:pt idx="6">
                  <c:v>2.0223748416156684</c:v>
                </c:pt>
                <c:pt idx="7">
                  <c:v>2.0303940504246953</c:v>
                </c:pt>
                <c:pt idx="8">
                  <c:v>2.0396078054371141</c:v>
                </c:pt>
                <c:pt idx="9">
                  <c:v>2.0499999999999998</c:v>
                </c:pt>
                <c:pt idx="10">
                  <c:v>2.0615528128088303</c:v>
                </c:pt>
                <c:pt idx="11">
                  <c:v>2.0742468512691539</c:v>
                </c:pt>
                <c:pt idx="12">
                  <c:v>2.0880613017821101</c:v>
                </c:pt>
                <c:pt idx="13">
                  <c:v>2.1029740844813092</c:v>
                </c:pt>
                <c:pt idx="14">
                  <c:v>2.118962010041709</c:v>
                </c:pt>
                <c:pt idx="15">
                  <c:v>2.1360009363293826</c:v>
                </c:pt>
                <c:pt idx="16">
                  <c:v>2.1540659228538019</c:v>
                </c:pt>
                <c:pt idx="17">
                  <c:v>2.173131381210073</c:v>
                </c:pt>
                <c:pt idx="18">
                  <c:v>2.1931712199461311</c:v>
                </c:pt>
                <c:pt idx="19">
                  <c:v>2.2141589825484531</c:v>
                </c:pt>
                <c:pt idx="20">
                  <c:v>2.2360679774997898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4F-4A99-B9A7-CE987E34B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65552"/>
        <c:axId val="1"/>
      </c:scatterChart>
      <c:valAx>
        <c:axId val="530965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0965552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0340344361716682"/>
          <c:y val="0.14717744840718439"/>
          <c:w val="0.21768796757548159"/>
          <c:h val="0.203629252225824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11154169589262"/>
          <c:y val="6.2500061527435827E-2"/>
          <c:w val="0.81179452912509309"/>
          <c:h val="0.838710503077848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'ForageMode (2)'!$C$63</c:f>
              <c:strCache>
                <c:ptCount val="1"/>
                <c:pt idx="0">
                  <c:v>h = 0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'ForageMode (2)'!$B$64:$B$84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'ForageMode (2)'!$C$64:$C$84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53-4AB2-B8BC-8BF6A1C9895E}"/>
            </c:ext>
          </c:extLst>
        </c:ser>
        <c:ser>
          <c:idx val="1"/>
          <c:order val="1"/>
          <c:tx>
            <c:strRef>
              <c:f>'ForageMode (2)'!$D$63</c:f>
              <c:strCache>
                <c:ptCount val="1"/>
                <c:pt idx="0">
                  <c:v>h = 0.5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'ForageMode (2)'!$B$64:$B$84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'ForageMode (2)'!$D$64:$D$84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9.5238095238095233E-2</c:v>
                </c:pt>
                <c:pt idx="3">
                  <c:v>0.13953488372093026</c:v>
                </c:pt>
                <c:pt idx="4">
                  <c:v>0.18181818181818182</c:v>
                </c:pt>
                <c:pt idx="5">
                  <c:v>0.22222222222222221</c:v>
                </c:pt>
                <c:pt idx="6">
                  <c:v>0.2608695652173913</c:v>
                </c:pt>
                <c:pt idx="7">
                  <c:v>0.2978723404255319</c:v>
                </c:pt>
                <c:pt idx="8">
                  <c:v>0.33333333333333331</c:v>
                </c:pt>
                <c:pt idx="9">
                  <c:v>0.36734693877551017</c:v>
                </c:pt>
                <c:pt idx="10">
                  <c:v>0.39999999999999997</c:v>
                </c:pt>
                <c:pt idx="11">
                  <c:v>0.43137254901960781</c:v>
                </c:pt>
                <c:pt idx="12">
                  <c:v>0.46153846153846151</c:v>
                </c:pt>
                <c:pt idx="13">
                  <c:v>0.49056603773584911</c:v>
                </c:pt>
                <c:pt idx="14">
                  <c:v>0.51851851851851849</c:v>
                </c:pt>
                <c:pt idx="15">
                  <c:v>0.54545454545454553</c:v>
                </c:pt>
                <c:pt idx="16">
                  <c:v>0.57142857142857151</c:v>
                </c:pt>
                <c:pt idx="17">
                  <c:v>0.59649122807017552</c:v>
                </c:pt>
                <c:pt idx="18">
                  <c:v>0.62068965517241392</c:v>
                </c:pt>
                <c:pt idx="19">
                  <c:v>0.64406779661016966</c:v>
                </c:pt>
                <c:pt idx="20">
                  <c:v>0.66666666666666685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53-4AB2-B8BC-8BF6A1C9895E}"/>
            </c:ext>
          </c:extLst>
        </c:ser>
        <c:ser>
          <c:idx val="2"/>
          <c:order val="2"/>
          <c:tx>
            <c:strRef>
              <c:f>'ForageMode (2)'!$E$63</c:f>
              <c:strCache>
                <c:ptCount val="1"/>
                <c:pt idx="0">
                  <c:v>h = 1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'ForageMode (2)'!$B$64:$B$84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'ForageMode (2)'!$E$64:$E$84</c:f>
              <c:numCache>
                <c:formatCode>General</c:formatCode>
                <c:ptCount val="21"/>
                <c:pt idx="0">
                  <c:v>0</c:v>
                </c:pt>
                <c:pt idx="1">
                  <c:v>4.7619047619047616E-2</c:v>
                </c:pt>
                <c:pt idx="2">
                  <c:v>9.0909090909090912E-2</c:v>
                </c:pt>
                <c:pt idx="3">
                  <c:v>0.13043478260869568</c:v>
                </c:pt>
                <c:pt idx="4">
                  <c:v>0.16666666666666669</c:v>
                </c:pt>
                <c:pt idx="5">
                  <c:v>0.2</c:v>
                </c:pt>
                <c:pt idx="6">
                  <c:v>0.23076923076923075</c:v>
                </c:pt>
                <c:pt idx="7">
                  <c:v>0.25925925925925924</c:v>
                </c:pt>
                <c:pt idx="8">
                  <c:v>0.2857142857142857</c:v>
                </c:pt>
                <c:pt idx="9">
                  <c:v>0.31034482758620685</c:v>
                </c:pt>
                <c:pt idx="10">
                  <c:v>0.33333333333333331</c:v>
                </c:pt>
                <c:pt idx="11">
                  <c:v>0.35483870967741937</c:v>
                </c:pt>
                <c:pt idx="12">
                  <c:v>0.37499999999999994</c:v>
                </c:pt>
                <c:pt idx="13">
                  <c:v>0.39393939393939398</c:v>
                </c:pt>
                <c:pt idx="14">
                  <c:v>0.41176470588235292</c:v>
                </c:pt>
                <c:pt idx="15">
                  <c:v>0.42857142857142866</c:v>
                </c:pt>
                <c:pt idx="16">
                  <c:v>0.44444444444444448</c:v>
                </c:pt>
                <c:pt idx="17">
                  <c:v>0.45945945945945954</c:v>
                </c:pt>
                <c:pt idx="18">
                  <c:v>0.47368421052631582</c:v>
                </c:pt>
                <c:pt idx="19">
                  <c:v>0.48717948717948728</c:v>
                </c:pt>
                <c:pt idx="20">
                  <c:v>0.50000000000000011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53-4AB2-B8BC-8BF6A1C9895E}"/>
            </c:ext>
          </c:extLst>
        </c:ser>
        <c:ser>
          <c:idx val="3"/>
          <c:order val="3"/>
          <c:tx>
            <c:strRef>
              <c:f>'ForageMode (2)'!$F$63</c:f>
              <c:strCache>
                <c:ptCount val="1"/>
                <c:pt idx="0">
                  <c:v>h = 2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'ForageMode (2)'!$B$64:$B$84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'ForageMode (2)'!$F$64:$F$84</c:f>
              <c:numCache>
                <c:formatCode>General</c:formatCode>
                <c:ptCount val="21"/>
                <c:pt idx="0">
                  <c:v>0</c:v>
                </c:pt>
                <c:pt idx="1">
                  <c:v>4.5454545454545456E-2</c:v>
                </c:pt>
                <c:pt idx="2">
                  <c:v>8.3333333333333343E-2</c:v>
                </c:pt>
                <c:pt idx="3">
                  <c:v>0.11538461538461539</c:v>
                </c:pt>
                <c:pt idx="4">
                  <c:v>0.14285714285714288</c:v>
                </c:pt>
                <c:pt idx="5">
                  <c:v>0.16666666666666666</c:v>
                </c:pt>
                <c:pt idx="6">
                  <c:v>0.18749999999999997</c:v>
                </c:pt>
                <c:pt idx="7">
                  <c:v>0.20588235294117646</c:v>
                </c:pt>
                <c:pt idx="8">
                  <c:v>0.22222222222222224</c:v>
                </c:pt>
                <c:pt idx="9">
                  <c:v>0.23684210526315788</c:v>
                </c:pt>
                <c:pt idx="10">
                  <c:v>0.24999999999999997</c:v>
                </c:pt>
                <c:pt idx="11">
                  <c:v>0.26190476190476192</c:v>
                </c:pt>
                <c:pt idx="12">
                  <c:v>0.27272727272727271</c:v>
                </c:pt>
                <c:pt idx="13">
                  <c:v>0.28260869565217395</c:v>
                </c:pt>
                <c:pt idx="14">
                  <c:v>0.29166666666666663</c:v>
                </c:pt>
                <c:pt idx="15">
                  <c:v>0.30000000000000004</c:v>
                </c:pt>
                <c:pt idx="16">
                  <c:v>0.30769230769230771</c:v>
                </c:pt>
                <c:pt idx="17">
                  <c:v>0.31481481481481488</c:v>
                </c:pt>
                <c:pt idx="18">
                  <c:v>0.32142857142857145</c:v>
                </c:pt>
                <c:pt idx="19">
                  <c:v>0.32758620689655177</c:v>
                </c:pt>
                <c:pt idx="20">
                  <c:v>0.33333333333333337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53-4AB2-B8BC-8BF6A1C98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57680"/>
        <c:axId val="1"/>
      </c:scatterChart>
      <c:valAx>
        <c:axId val="530957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095768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9954737800632064"/>
          <c:y val="3.6290326722858271E-2"/>
          <c:w val="0.22222311496777189"/>
          <c:h val="0.203629340852941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650000642476408E-2"/>
          <c:y val="6.0483930510421766E-2"/>
          <c:w val="0.85354834132145674"/>
          <c:h val="0.840726634094862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'ForageMode (2)'!$Q$163</c:f>
              <c:strCache>
                <c:ptCount val="1"/>
                <c:pt idx="0">
                  <c:v>fitness-w/o P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'ForageMode (2)'!$P$164:$P$184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1E-3</c:v>
                </c:pt>
              </c:numCache>
            </c:numRef>
          </c:xVal>
          <c:yVal>
            <c:numRef>
              <c:f>'ForageMode (2)'!$Q$164:$Q$184</c:f>
              <c:numCache>
                <c:formatCode>General</c:formatCode>
                <c:ptCount val="21"/>
                <c:pt idx="0">
                  <c:v>1</c:v>
                </c:pt>
                <c:pt idx="1">
                  <c:v>0.99418604651162779</c:v>
                </c:pt>
                <c:pt idx="2">
                  <c:v>0.98780487804878048</c:v>
                </c:pt>
                <c:pt idx="3">
                  <c:v>0.98076923076923073</c:v>
                </c:pt>
                <c:pt idx="4">
                  <c:v>0.97297297297297292</c:v>
                </c:pt>
                <c:pt idx="5">
                  <c:v>0.9642857142857143</c:v>
                </c:pt>
                <c:pt idx="6">
                  <c:v>0.95454545454545447</c:v>
                </c:pt>
                <c:pt idx="7">
                  <c:v>0.94354838709677413</c:v>
                </c:pt>
                <c:pt idx="8">
                  <c:v>0.93103448275862055</c:v>
                </c:pt>
                <c:pt idx="9">
                  <c:v>0.91666666666666663</c:v>
                </c:pt>
                <c:pt idx="10">
                  <c:v>0.89999999999999991</c:v>
                </c:pt>
                <c:pt idx="11">
                  <c:v>0.88043478260869545</c:v>
                </c:pt>
                <c:pt idx="12">
                  <c:v>0.85714285714285687</c:v>
                </c:pt>
                <c:pt idx="13">
                  <c:v>0.82894736842105243</c:v>
                </c:pt>
                <c:pt idx="14">
                  <c:v>0.79411764705882326</c:v>
                </c:pt>
                <c:pt idx="15">
                  <c:v>0.74999999999999967</c:v>
                </c:pt>
                <c:pt idx="16">
                  <c:v>0.69230769230769185</c:v>
                </c:pt>
                <c:pt idx="17">
                  <c:v>0.61363636363636309</c:v>
                </c:pt>
                <c:pt idx="18">
                  <c:v>0.49999999999999906</c:v>
                </c:pt>
                <c:pt idx="19">
                  <c:v>0.32142857142857001</c:v>
                </c:pt>
                <c:pt idx="20">
                  <c:v>8.9285714285714298E-3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84-4830-BEC3-97AC4D735342}"/>
            </c:ext>
          </c:extLst>
        </c:ser>
        <c:ser>
          <c:idx val="1"/>
          <c:order val="1"/>
          <c:tx>
            <c:strRef>
              <c:f>'ForageMode (2)'!$R$163</c:f>
              <c:strCache>
                <c:ptCount val="1"/>
                <c:pt idx="0">
                  <c:v>predation effect on fitness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'ForageMode (2)'!$P$164:$P$184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1E-3</c:v>
                </c:pt>
              </c:numCache>
            </c:numRef>
          </c:xVal>
          <c:yVal>
            <c:numRef>
              <c:f>'ForageMode (2)'!$R$164:$R$184</c:f>
              <c:numCache>
                <c:formatCode>General</c:formatCode>
                <c:ptCount val="21"/>
                <c:pt idx="0">
                  <c:v>0.99999999999999978</c:v>
                </c:pt>
                <c:pt idx="1">
                  <c:v>0.9753204601565576</c:v>
                </c:pt>
                <c:pt idx="2">
                  <c:v>0.95131487952202209</c:v>
                </c:pt>
                <c:pt idx="3">
                  <c:v>0.92803555966352902</c:v>
                </c:pt>
                <c:pt idx="4">
                  <c:v>0.90553851381374129</c:v>
                </c:pt>
                <c:pt idx="5">
                  <c:v>0.88388347648318399</c:v>
                </c:pt>
                <c:pt idx="6">
                  <c:v>0.86313382508160308</c:v>
                </c:pt>
                <c:pt idx="7">
                  <c:v>0.84335638967164972</c:v>
                </c:pt>
                <c:pt idx="8">
                  <c:v>0.82462112512353181</c:v>
                </c:pt>
                <c:pt idx="9">
                  <c:v>0.80700061957844826</c:v>
                </c:pt>
                <c:pt idx="10">
                  <c:v>0.79056941504209455</c:v>
                </c:pt>
                <c:pt idx="11">
                  <c:v>0.7754031209635408</c:v>
                </c:pt>
                <c:pt idx="12">
                  <c:v>0.76157731058639055</c:v>
                </c:pt>
                <c:pt idx="13">
                  <c:v>0.74916620318858462</c:v>
                </c:pt>
                <c:pt idx="14">
                  <c:v>0.7382411530116697</c:v>
                </c:pt>
                <c:pt idx="15">
                  <c:v>0.72886898685566226</c:v>
                </c:pt>
                <c:pt idx="16">
                  <c:v>0.72111025509279758</c:v>
                </c:pt>
                <c:pt idx="17">
                  <c:v>0.71501748230375439</c:v>
                </c:pt>
                <c:pt idx="18">
                  <c:v>0.71063352017759451</c:v>
                </c:pt>
                <c:pt idx="19">
                  <c:v>0.70799011292531466</c:v>
                </c:pt>
                <c:pt idx="20">
                  <c:v>0.70710713473984965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84-4830-BEC3-97AC4D735342}"/>
            </c:ext>
          </c:extLst>
        </c:ser>
        <c:ser>
          <c:idx val="2"/>
          <c:order val="2"/>
          <c:tx>
            <c:strRef>
              <c:f>'ForageMode (2)'!$S$163</c:f>
              <c:strCache>
                <c:ptCount val="1"/>
                <c:pt idx="0">
                  <c:v>fitness-w/pred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'ForageMode (2)'!$P$164:$P$184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1E-3</c:v>
                </c:pt>
              </c:numCache>
            </c:numRef>
          </c:xVal>
          <c:yVal>
            <c:numRef>
              <c:f>'ForageMode (2)'!$S$164:$S$184</c:f>
              <c:numCache>
                <c:formatCode>General</c:formatCode>
                <c:ptCount val="21"/>
                <c:pt idx="0">
                  <c:v>0</c:v>
                </c:pt>
                <c:pt idx="1">
                  <c:v>1.8865586355070185E-2</c:v>
                </c:pt>
                <c:pt idx="2">
                  <c:v>3.6489998526758383E-2</c:v>
                </c:pt>
                <c:pt idx="3">
                  <c:v>5.2733671105701707E-2</c:v>
                </c:pt>
                <c:pt idx="4">
                  <c:v>6.743445915923163E-2</c:v>
                </c:pt>
                <c:pt idx="5">
                  <c:v>8.0402237802530307E-2</c:v>
                </c:pt>
                <c:pt idx="6">
                  <c:v>9.1411629463851396E-2</c:v>
                </c:pt>
                <c:pt idx="7">
                  <c:v>0.10019199742512441</c:v>
                </c:pt>
                <c:pt idx="8">
                  <c:v>0.10641335763508875</c:v>
                </c:pt>
                <c:pt idx="9">
                  <c:v>0.10966604708821837</c:v>
                </c:pt>
                <c:pt idx="10">
                  <c:v>0.10943058495790536</c:v>
                </c:pt>
                <c:pt idx="11">
                  <c:v>0.10503166164515465</c:v>
                </c:pt>
                <c:pt idx="12">
                  <c:v>9.5565546556466319E-2</c:v>
                </c:pt>
                <c:pt idx="13">
                  <c:v>7.978116523246781E-2</c:v>
                </c:pt>
                <c:pt idx="14">
                  <c:v>5.5876494047153558E-2</c:v>
                </c:pt>
                <c:pt idx="15">
                  <c:v>2.1131013144337407E-2</c:v>
                </c:pt>
                <c:pt idx="16">
                  <c:v>-2.8802562785105734E-2</c:v>
                </c:pt>
                <c:pt idx="17">
                  <c:v>-0.1013811186673913</c:v>
                </c:pt>
                <c:pt idx="18">
                  <c:v>-0.21063352017759546</c:v>
                </c:pt>
                <c:pt idx="19">
                  <c:v>-0.38656154149674465</c:v>
                </c:pt>
                <c:pt idx="20">
                  <c:v>-0.69817856331127826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84-4830-BEC3-97AC4D735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71456"/>
        <c:axId val="1"/>
      </c:scatterChart>
      <c:valAx>
        <c:axId val="530971456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0971456"/>
        <c:crossesAt val="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650000642476408E-2"/>
          <c:y val="6.0483930510421766E-2"/>
          <c:w val="0.85354834132145674"/>
          <c:h val="0.840726634094862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'ForageMode (2)'!$AE$163</c:f>
              <c:strCache>
                <c:ptCount val="1"/>
                <c:pt idx="0">
                  <c:v>fitness-w/o P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'ForageMode (2)'!$AD$164:$AD$184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1E-3</c:v>
                </c:pt>
              </c:numCache>
            </c:numRef>
          </c:xVal>
          <c:yVal>
            <c:numRef>
              <c:f>'ForageMode (2)'!$AE$164:$AE$184</c:f>
              <c:numCache>
                <c:formatCode>General</c:formatCode>
                <c:ptCount val="21"/>
                <c:pt idx="0">
                  <c:v>1</c:v>
                </c:pt>
                <c:pt idx="1">
                  <c:v>0.97435897435897434</c:v>
                </c:pt>
                <c:pt idx="2">
                  <c:v>0.94736842105263153</c:v>
                </c:pt>
                <c:pt idx="3">
                  <c:v>0.91891891891891886</c:v>
                </c:pt>
                <c:pt idx="4">
                  <c:v>0.88888888888888873</c:v>
                </c:pt>
                <c:pt idx="5">
                  <c:v>0.85714285714285698</c:v>
                </c:pt>
                <c:pt idx="6">
                  <c:v>0.82352941176470573</c:v>
                </c:pt>
                <c:pt idx="7">
                  <c:v>0.78787878787878762</c:v>
                </c:pt>
                <c:pt idx="8">
                  <c:v>0.74999999999999967</c:v>
                </c:pt>
                <c:pt idx="9">
                  <c:v>0.70967741935483841</c:v>
                </c:pt>
                <c:pt idx="10">
                  <c:v>0.6666666666666663</c:v>
                </c:pt>
                <c:pt idx="11">
                  <c:v>0.62068965517241337</c:v>
                </c:pt>
                <c:pt idx="12">
                  <c:v>0.57142857142857106</c:v>
                </c:pt>
                <c:pt idx="13">
                  <c:v>0.51851851851851816</c:v>
                </c:pt>
                <c:pt idx="14">
                  <c:v>0.46153846153846118</c:v>
                </c:pt>
                <c:pt idx="15">
                  <c:v>0.39999999999999963</c:v>
                </c:pt>
                <c:pt idx="16">
                  <c:v>0.33333333333333287</c:v>
                </c:pt>
                <c:pt idx="17">
                  <c:v>0.26086956521739085</c:v>
                </c:pt>
                <c:pt idx="18">
                  <c:v>0.1818181818181813</c:v>
                </c:pt>
                <c:pt idx="19">
                  <c:v>9.5238095238094678E-2</c:v>
                </c:pt>
                <c:pt idx="20">
                  <c:v>1.9980019980019984E-3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2F-4736-ACFF-7612D4857DB4}"/>
            </c:ext>
          </c:extLst>
        </c:ser>
        <c:ser>
          <c:idx val="1"/>
          <c:order val="1"/>
          <c:tx>
            <c:strRef>
              <c:f>'ForageMode (2)'!$AF$163</c:f>
              <c:strCache>
                <c:ptCount val="1"/>
                <c:pt idx="0">
                  <c:v>predation effect on fitness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'ForageMode (2)'!$AD$164:$AD$184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1E-3</c:v>
                </c:pt>
              </c:numCache>
            </c:numRef>
          </c:xVal>
          <c:yVal>
            <c:numRef>
              <c:f>'ForageMode (2)'!$AF$164:$AF$184</c:f>
              <c:numCache>
                <c:formatCode>General</c:formatCode>
                <c:ptCount val="21"/>
                <c:pt idx="0">
                  <c:v>0.57639320225002111</c:v>
                </c:pt>
                <c:pt idx="1">
                  <c:v>0.55667510679381738</c:v>
                </c:pt>
                <c:pt idx="2">
                  <c:v>0.53778612045172758</c:v>
                </c:pt>
                <c:pt idx="3">
                  <c:v>0.51975026558927584</c:v>
                </c:pt>
                <c:pt idx="4">
                  <c:v>0.50259135306863145</c:v>
                </c:pt>
                <c:pt idx="5">
                  <c:v>0.48633286519665431</c:v>
                </c:pt>
                <c:pt idx="6">
                  <c:v>0.4709978315377481</c:v>
                </c:pt>
                <c:pt idx="7">
                  <c:v>0.45660869853338792</c:v>
                </c:pt>
                <c:pt idx="8">
                  <c:v>0.44318719410410878</c:v>
                </c:pt>
                <c:pt idx="9">
                  <c:v>0.43075418864244863</c:v>
                </c:pt>
                <c:pt idx="10">
                  <c:v>0.41932955402815741</c:v>
                </c:pt>
                <c:pt idx="11">
                  <c:v>0.40893202250020999</c:v>
                </c:pt>
                <c:pt idx="12">
                  <c:v>0.39957904739361272</c:v>
                </c:pt>
                <c:pt idx="13">
                  <c:v>0.39128666788243582</c:v>
                </c:pt>
                <c:pt idx="14">
                  <c:v>0.38406937995431156</c:v>
                </c:pt>
                <c:pt idx="15">
                  <c:v>0.37794001586738357</c:v>
                </c:pt>
                <c:pt idx="16">
                  <c:v>0.37290963430197022</c:v>
                </c:pt>
                <c:pt idx="17">
                  <c:v>0.36898742331205203</c:v>
                </c:pt>
                <c:pt idx="18">
                  <c:v>0.3661806180052809</c:v>
                </c:pt>
                <c:pt idx="19">
                  <c:v>0.36449443463704045</c:v>
                </c:pt>
                <c:pt idx="20">
                  <c:v>0.36393224750019582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2F-4736-ACFF-7612D4857DB4}"/>
            </c:ext>
          </c:extLst>
        </c:ser>
        <c:ser>
          <c:idx val="2"/>
          <c:order val="2"/>
          <c:tx>
            <c:strRef>
              <c:f>'ForageMode (2)'!$AG$163</c:f>
              <c:strCache>
                <c:ptCount val="1"/>
                <c:pt idx="0">
                  <c:v>fitness-w/pred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'ForageMode (2)'!$AD$164:$AD$184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1E-3</c:v>
                </c:pt>
              </c:numCache>
            </c:numRef>
          </c:xVal>
          <c:yVal>
            <c:numRef>
              <c:f>'ForageMode (2)'!$AG$164:$AG$184</c:f>
              <c:numCache>
                <c:formatCode>General</c:formatCode>
                <c:ptCount val="21"/>
                <c:pt idx="0">
                  <c:v>0.42360679774997889</c:v>
                </c:pt>
                <c:pt idx="1">
                  <c:v>0.41768386756515696</c:v>
                </c:pt>
                <c:pt idx="2">
                  <c:v>0.40958230060090395</c:v>
                </c:pt>
                <c:pt idx="3">
                  <c:v>0.39916865332964302</c:v>
                </c:pt>
                <c:pt idx="4">
                  <c:v>0.38629753582025728</c:v>
                </c:pt>
                <c:pt idx="5">
                  <c:v>0.37080999194620268</c:v>
                </c:pt>
                <c:pt idx="6">
                  <c:v>0.35253158022695763</c:v>
                </c:pt>
                <c:pt idx="7">
                  <c:v>0.3312700893453997</c:v>
                </c:pt>
                <c:pt idx="8">
                  <c:v>0.30681280589589088</c:v>
                </c:pt>
                <c:pt idx="9">
                  <c:v>0.27892323071238978</c:v>
                </c:pt>
                <c:pt idx="10">
                  <c:v>0.24733711263850888</c:v>
                </c:pt>
                <c:pt idx="11">
                  <c:v>0.21175763267220338</c:v>
                </c:pt>
                <c:pt idx="12">
                  <c:v>0.17184952403495835</c:v>
                </c:pt>
                <c:pt idx="13">
                  <c:v>0.12723185063608233</c:v>
                </c:pt>
                <c:pt idx="14">
                  <c:v>7.7469081584149613E-2</c:v>
                </c:pt>
                <c:pt idx="15">
                  <c:v>2.2059984132616062E-2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2F-4736-ACFF-7612D4857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77360"/>
        <c:axId val="1"/>
      </c:scatterChart>
      <c:valAx>
        <c:axId val="530977360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0977360"/>
        <c:crossesAt val="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650000642476408E-2"/>
          <c:y val="6.0483930510421766E-2"/>
          <c:w val="0.85354834132145674"/>
          <c:h val="0.840726634094862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'ForageMode (2)'!$C$98</c:f>
              <c:strCache>
                <c:ptCount val="1"/>
                <c:pt idx="0">
                  <c:v>fitness-w/o P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'ForageMode (2)'!$B$99:$B$119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(2)'!$C$99:$C$119</c:f>
              <c:numCache>
                <c:formatCode>General</c:formatCode>
                <c:ptCount val="21"/>
                <c:pt idx="0">
                  <c:v>1</c:v>
                </c:pt>
                <c:pt idx="1">
                  <c:v>0.99418604651162779</c:v>
                </c:pt>
                <c:pt idx="2">
                  <c:v>0.98780487804878048</c:v>
                </c:pt>
                <c:pt idx="3">
                  <c:v>0.98076923076923073</c:v>
                </c:pt>
                <c:pt idx="4">
                  <c:v>0.97297297297297292</c:v>
                </c:pt>
                <c:pt idx="5">
                  <c:v>0.9642857142857143</c:v>
                </c:pt>
                <c:pt idx="6">
                  <c:v>0.95454545454545447</c:v>
                </c:pt>
                <c:pt idx="7">
                  <c:v>0.94354838709677413</c:v>
                </c:pt>
                <c:pt idx="8">
                  <c:v>0.93103448275862055</c:v>
                </c:pt>
                <c:pt idx="9">
                  <c:v>0.91666666666666663</c:v>
                </c:pt>
                <c:pt idx="10">
                  <c:v>0.89999999999999991</c:v>
                </c:pt>
                <c:pt idx="11">
                  <c:v>0.88043478260869545</c:v>
                </c:pt>
                <c:pt idx="12">
                  <c:v>0.85714285714285687</c:v>
                </c:pt>
                <c:pt idx="13">
                  <c:v>0.82894736842105243</c:v>
                </c:pt>
                <c:pt idx="14">
                  <c:v>0.79411764705882326</c:v>
                </c:pt>
                <c:pt idx="15">
                  <c:v>0.74999999999999967</c:v>
                </c:pt>
                <c:pt idx="16">
                  <c:v>0.69363496932515345</c:v>
                </c:pt>
                <c:pt idx="17">
                  <c:v>0.61548913043478271</c:v>
                </c:pt>
                <c:pt idx="18">
                  <c:v>0.50276548672566368</c:v>
                </c:pt>
                <c:pt idx="19">
                  <c:v>0.32599431818181829</c:v>
                </c:pt>
                <c:pt idx="20">
                  <c:v>8.9285714285715599E-3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CE-4B57-95A7-D2E8F16DF1E8}"/>
            </c:ext>
          </c:extLst>
        </c:ser>
        <c:ser>
          <c:idx val="1"/>
          <c:order val="1"/>
          <c:tx>
            <c:strRef>
              <c:f>'ForageMode (2)'!$D$98</c:f>
              <c:strCache>
                <c:ptCount val="1"/>
                <c:pt idx="0">
                  <c:v>predation effect on fitness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'ForageMode (2)'!$B$99:$B$119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(2)'!$D$99:$D$119</c:f>
              <c:numCache>
                <c:formatCode>General</c:formatCode>
                <c:ptCount val="21"/>
                <c:pt idx="0">
                  <c:v>0.89999999999999991</c:v>
                </c:pt>
                <c:pt idx="1">
                  <c:v>0.85677447440968946</c:v>
                </c:pt>
                <c:pt idx="2">
                  <c:v>0.81364564201452616</c:v>
                </c:pt>
                <c:pt idx="3">
                  <c:v>0.77062973749245622</c:v>
                </c:pt>
                <c:pt idx="4">
                  <c:v>0.72774678605637566</c:v>
                </c:pt>
                <c:pt idx="5">
                  <c:v>0.68502175709411406</c:v>
                </c:pt>
                <c:pt idx="6">
                  <c:v>0.6424861566901352</c:v>
                </c:pt>
                <c:pt idx="7">
                  <c:v>0.60018026138306624</c:v>
                </c:pt>
                <c:pt idx="8">
                  <c:v>0.5581563056514377</c:v>
                </c:pt>
                <c:pt idx="9">
                  <c:v>0.5164831146245803</c:v>
                </c:pt>
                <c:pt idx="10">
                  <c:v>0.47525296907582198</c:v>
                </c:pt>
                <c:pt idx="11">
                  <c:v>0.43459198371310531</c:v>
                </c:pt>
                <c:pt idx="12">
                  <c:v>0.39467610868816283</c:v>
                </c:pt>
                <c:pt idx="13">
                  <c:v>0.35575623676894236</c:v>
                </c:pt>
                <c:pt idx="14">
                  <c:v>0.31819805153394609</c:v>
                </c:pt>
                <c:pt idx="15">
                  <c:v>0.2825450951073662</c:v>
                </c:pt>
                <c:pt idx="16">
                  <c:v>0.25023990412279296</c:v>
                </c:pt>
                <c:pt idx="17">
                  <c:v>0.22116129251677905</c:v>
                </c:pt>
                <c:pt idx="18">
                  <c:v>0.19773430599982081</c:v>
                </c:pt>
                <c:pt idx="19">
                  <c:v>0.18215275183208185</c:v>
                </c:pt>
                <c:pt idx="20">
                  <c:v>0.17650672791709668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CE-4B57-95A7-D2E8F16DF1E8}"/>
            </c:ext>
          </c:extLst>
        </c:ser>
        <c:ser>
          <c:idx val="2"/>
          <c:order val="2"/>
          <c:tx>
            <c:strRef>
              <c:f>'ForageMode (2)'!$E$98</c:f>
              <c:strCache>
                <c:ptCount val="1"/>
                <c:pt idx="0">
                  <c:v>fitness-w/pred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'ForageMode (2)'!$B$99:$B$119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(2)'!$E$99:$E$119</c:f>
              <c:numCache>
                <c:formatCode>General</c:formatCode>
                <c:ptCount val="21"/>
                <c:pt idx="0">
                  <c:v>0.10000000000000009</c:v>
                </c:pt>
                <c:pt idx="1">
                  <c:v>0.13741157210193833</c:v>
                </c:pt>
                <c:pt idx="2">
                  <c:v>0.17415923603425432</c:v>
                </c:pt>
                <c:pt idx="3">
                  <c:v>0.2101394932767745</c:v>
                </c:pt>
                <c:pt idx="4">
                  <c:v>0.24522618691659726</c:v>
                </c:pt>
                <c:pt idx="5">
                  <c:v>0.27926395719160024</c:v>
                </c:pt>
                <c:pt idx="6">
                  <c:v>0.31205929785531927</c:v>
                </c:pt>
                <c:pt idx="7">
                  <c:v>0.34336812571370789</c:v>
                </c:pt>
                <c:pt idx="8">
                  <c:v>0.37287817710718285</c:v>
                </c:pt>
                <c:pt idx="9">
                  <c:v>0.40018355204208633</c:v>
                </c:pt>
                <c:pt idx="10">
                  <c:v>0.42474703092417793</c:v>
                </c:pt>
                <c:pt idx="11">
                  <c:v>0.44584279889559014</c:v>
                </c:pt>
                <c:pt idx="12">
                  <c:v>0.46246674845469404</c:v>
                </c:pt>
                <c:pt idx="13">
                  <c:v>0.47319113165211008</c:v>
                </c:pt>
                <c:pt idx="14">
                  <c:v>0.47591959552487717</c:v>
                </c:pt>
                <c:pt idx="15">
                  <c:v>0.46745490489263347</c:v>
                </c:pt>
                <c:pt idx="16">
                  <c:v>0.44339506520236049</c:v>
                </c:pt>
                <c:pt idx="17">
                  <c:v>0.39432783791800363</c:v>
                </c:pt>
                <c:pt idx="18">
                  <c:v>0.3050311807258429</c:v>
                </c:pt>
                <c:pt idx="19">
                  <c:v>0.14384156634973644</c:v>
                </c:pt>
                <c:pt idx="20">
                  <c:v>-0.16757815648852512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CE-4B57-95A7-D2E8F16DF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84576"/>
        <c:axId val="1"/>
      </c:scatterChart>
      <c:valAx>
        <c:axId val="530984576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530984576"/>
        <c:crossesAt val="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650000642476408E-2"/>
          <c:y val="6.0483930510421766E-2"/>
          <c:w val="0.85354834132145674"/>
          <c:h val="0.840726634094862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'ForageMode (2)'!$C$163</c:f>
              <c:strCache>
                <c:ptCount val="1"/>
                <c:pt idx="0">
                  <c:v>fitness-w/o P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'ForageMode (2)'!$B$164:$B$184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1E-3</c:v>
                </c:pt>
              </c:numCache>
            </c:numRef>
          </c:xVal>
          <c:yVal>
            <c:numRef>
              <c:f>'ForageMode (2)'!$C$164:$C$184</c:f>
              <c:numCache>
                <c:formatCode>General</c:formatCode>
                <c:ptCount val="21"/>
                <c:pt idx="0">
                  <c:v>1</c:v>
                </c:pt>
                <c:pt idx="1">
                  <c:v>0.99418604651162779</c:v>
                </c:pt>
                <c:pt idx="2">
                  <c:v>0.98780487804878048</c:v>
                </c:pt>
                <c:pt idx="3">
                  <c:v>0.98076923076923073</c:v>
                </c:pt>
                <c:pt idx="4">
                  <c:v>0.97297297297297292</c:v>
                </c:pt>
                <c:pt idx="5">
                  <c:v>0.9642857142857143</c:v>
                </c:pt>
                <c:pt idx="6">
                  <c:v>0.95454545454545447</c:v>
                </c:pt>
                <c:pt idx="7">
                  <c:v>0.94354838709677413</c:v>
                </c:pt>
                <c:pt idx="8">
                  <c:v>0.93103448275862055</c:v>
                </c:pt>
                <c:pt idx="9">
                  <c:v>0.91666666666666663</c:v>
                </c:pt>
                <c:pt idx="10">
                  <c:v>0.89999999999999991</c:v>
                </c:pt>
                <c:pt idx="11">
                  <c:v>0.88043478260869545</c:v>
                </c:pt>
                <c:pt idx="12">
                  <c:v>0.85714285714285687</c:v>
                </c:pt>
                <c:pt idx="13">
                  <c:v>0.82894736842105243</c:v>
                </c:pt>
                <c:pt idx="14">
                  <c:v>0.79411764705882326</c:v>
                </c:pt>
                <c:pt idx="15">
                  <c:v>0.74999999999999967</c:v>
                </c:pt>
                <c:pt idx="16">
                  <c:v>0.69230769230769185</c:v>
                </c:pt>
                <c:pt idx="17">
                  <c:v>0.61363636363636309</c:v>
                </c:pt>
                <c:pt idx="18">
                  <c:v>0.49999999999999906</c:v>
                </c:pt>
                <c:pt idx="19">
                  <c:v>0.32142857142857001</c:v>
                </c:pt>
                <c:pt idx="20">
                  <c:v>8.9285714285714298E-3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06-4527-8A44-12AC6B2151D7}"/>
            </c:ext>
          </c:extLst>
        </c:ser>
        <c:ser>
          <c:idx val="1"/>
          <c:order val="1"/>
          <c:tx>
            <c:strRef>
              <c:f>'ForageMode (2)'!$D$163</c:f>
              <c:strCache>
                <c:ptCount val="1"/>
                <c:pt idx="0">
                  <c:v>predation effect on fitness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'ForageMode (2)'!$B$164:$B$184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1E-3</c:v>
                </c:pt>
              </c:numCache>
            </c:numRef>
          </c:xVal>
          <c:yVal>
            <c:numRef>
              <c:f>'ForageMode (2)'!$D$164:$D$184</c:f>
              <c:numCache>
                <c:formatCode>General</c:formatCode>
                <c:ptCount val="21"/>
                <c:pt idx="0">
                  <c:v>0.79999999999999982</c:v>
                </c:pt>
                <c:pt idx="1">
                  <c:v>0.77809100504866269</c:v>
                </c:pt>
                <c:pt idx="2">
                  <c:v>0.75710324244634064</c:v>
                </c:pt>
                <c:pt idx="3">
                  <c:v>0.737063403710283</c:v>
                </c:pt>
                <c:pt idx="4">
                  <c:v>0.71799794535401151</c:v>
                </c:pt>
                <c:pt idx="5">
                  <c:v>0.69993295882959261</c:v>
                </c:pt>
                <c:pt idx="6">
                  <c:v>0.68289403254191905</c:v>
                </c:pt>
                <c:pt idx="7">
                  <c:v>0.66690610698151875</c:v>
                </c:pt>
                <c:pt idx="8">
                  <c:v>0.65199332428231971</c:v>
                </c:pt>
                <c:pt idx="9">
                  <c:v>0.63817887376936389</c:v>
                </c:pt>
                <c:pt idx="10">
                  <c:v>0.62548483530904031</c:v>
                </c:pt>
                <c:pt idx="11">
                  <c:v>0.61393202250020984</c:v>
                </c:pt>
                <c:pt idx="12">
                  <c:v>0.60353982793732408</c:v>
                </c:pt>
                <c:pt idx="13">
                  <c:v>0.59432607292490536</c:v>
                </c:pt>
                <c:pt idx="14">
                  <c:v>0.5863068641158784</c:v>
                </c:pt>
                <c:pt idx="15">
                  <c:v>0.5794964595748473</c:v>
                </c:pt>
                <c:pt idx="16">
                  <c:v>0.57390714672438792</c:v>
                </c:pt>
                <c:pt idx="17">
                  <c:v>0.56954913451336786</c:v>
                </c:pt>
                <c:pt idx="18">
                  <c:v>0.56643046195028868</c:v>
                </c:pt>
                <c:pt idx="19">
                  <c:v>0.56455692487446596</c:v>
                </c:pt>
                <c:pt idx="20">
                  <c:v>0.56393227250019429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06-4527-8A44-12AC6B2151D7}"/>
            </c:ext>
          </c:extLst>
        </c:ser>
        <c:ser>
          <c:idx val="2"/>
          <c:order val="2"/>
          <c:tx>
            <c:strRef>
              <c:f>'ForageMode (2)'!$E$163</c:f>
              <c:strCache>
                <c:ptCount val="1"/>
                <c:pt idx="0">
                  <c:v>fitness-w/pred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'ForageMode (2)'!$B$164:$B$184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1E-3</c:v>
                </c:pt>
              </c:numCache>
            </c:numRef>
          </c:xVal>
          <c:yVal>
            <c:numRef>
              <c:f>'ForageMode (2)'!$E$164:$E$184</c:f>
              <c:numCache>
                <c:formatCode>General</c:formatCode>
                <c:ptCount val="21"/>
                <c:pt idx="0">
                  <c:v>0.20000000000000018</c:v>
                </c:pt>
                <c:pt idx="1">
                  <c:v>0.2160950414629651</c:v>
                </c:pt>
                <c:pt idx="2">
                  <c:v>0.23070163560243984</c:v>
                </c:pt>
                <c:pt idx="3">
                  <c:v>0.24370582705894772</c:v>
                </c:pt>
                <c:pt idx="4">
                  <c:v>0.2549750276189614</c:v>
                </c:pt>
                <c:pt idx="5">
                  <c:v>0.26435275545612169</c:v>
                </c:pt>
                <c:pt idx="6">
                  <c:v>0.27165142200353543</c:v>
                </c:pt>
                <c:pt idx="7">
                  <c:v>0.27664228011525538</c:v>
                </c:pt>
                <c:pt idx="8">
                  <c:v>0.27904115847630084</c:v>
                </c:pt>
                <c:pt idx="9">
                  <c:v>0.27848779289730274</c:v>
                </c:pt>
                <c:pt idx="10">
                  <c:v>0.2745151646909596</c:v>
                </c:pt>
                <c:pt idx="11">
                  <c:v>0.26650276010848561</c:v>
                </c:pt>
                <c:pt idx="12">
                  <c:v>0.25360302920553279</c:v>
                </c:pt>
                <c:pt idx="13">
                  <c:v>0.23462129549614708</c:v>
                </c:pt>
                <c:pt idx="14">
                  <c:v>0.20781078294294486</c:v>
                </c:pt>
                <c:pt idx="15">
                  <c:v>0.17050354042515237</c:v>
                </c:pt>
                <c:pt idx="16">
                  <c:v>0.11840054558330393</c:v>
                </c:pt>
                <c:pt idx="17">
                  <c:v>4.4087229122995231E-2</c:v>
                </c:pt>
                <c:pt idx="18">
                  <c:v>-6.6430461950289621E-2</c:v>
                </c:pt>
                <c:pt idx="19">
                  <c:v>-0.24312835344589595</c:v>
                </c:pt>
                <c:pt idx="20">
                  <c:v>-0.55500370107162289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06-4527-8A44-12AC6B215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638512"/>
        <c:axId val="1"/>
      </c:scatterChart>
      <c:valAx>
        <c:axId val="531638512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1638512"/>
        <c:crossesAt val="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650000642476408E-2"/>
          <c:y val="6.0483930510421766E-2"/>
          <c:w val="0.85354834132145674"/>
          <c:h val="0.840726634094862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'ForageMode (2)'!$AS$163</c:f>
              <c:strCache>
                <c:ptCount val="1"/>
                <c:pt idx="0">
                  <c:v>fitness-w/o P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'ForageMode (2)'!$AR$164:$AR$184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1E-3</c:v>
                </c:pt>
              </c:numCache>
            </c:numRef>
          </c:xVal>
          <c:yVal>
            <c:numRef>
              <c:f>'ForageMode (2)'!$AS$164:$AS$184</c:f>
              <c:numCache>
                <c:formatCode>General</c:formatCode>
                <c:ptCount val="21"/>
                <c:pt idx="0">
                  <c:v>1</c:v>
                </c:pt>
                <c:pt idx="1">
                  <c:v>0.97435897435897434</c:v>
                </c:pt>
                <c:pt idx="2">
                  <c:v>0.94736842105263153</c:v>
                </c:pt>
                <c:pt idx="3">
                  <c:v>0.91891891891891886</c:v>
                </c:pt>
                <c:pt idx="4">
                  <c:v>0.88888888888888873</c:v>
                </c:pt>
                <c:pt idx="5">
                  <c:v>0.85714285714285698</c:v>
                </c:pt>
                <c:pt idx="6">
                  <c:v>0.82352941176470573</c:v>
                </c:pt>
                <c:pt idx="7">
                  <c:v>0.78787878787878762</c:v>
                </c:pt>
                <c:pt idx="8">
                  <c:v>0.74999999999999967</c:v>
                </c:pt>
                <c:pt idx="9">
                  <c:v>0.70967741935483841</c:v>
                </c:pt>
                <c:pt idx="10">
                  <c:v>0.6666666666666663</c:v>
                </c:pt>
                <c:pt idx="11">
                  <c:v>0.62068965517241337</c:v>
                </c:pt>
                <c:pt idx="12">
                  <c:v>0.57142857142857106</c:v>
                </c:pt>
                <c:pt idx="13">
                  <c:v>0.51851851851851816</c:v>
                </c:pt>
                <c:pt idx="14">
                  <c:v>0.46153846153846118</c:v>
                </c:pt>
                <c:pt idx="15">
                  <c:v>0.39999999999999963</c:v>
                </c:pt>
                <c:pt idx="16">
                  <c:v>0.33333333333333287</c:v>
                </c:pt>
                <c:pt idx="17">
                  <c:v>0.26086956521739085</c:v>
                </c:pt>
                <c:pt idx="18">
                  <c:v>0.1818181818181813</c:v>
                </c:pt>
                <c:pt idx="19">
                  <c:v>9.5238095238094678E-2</c:v>
                </c:pt>
                <c:pt idx="20">
                  <c:v>1.9980019980019984E-3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2F-4BC4-8384-02043C18E596}"/>
            </c:ext>
          </c:extLst>
        </c:ser>
        <c:ser>
          <c:idx val="1"/>
          <c:order val="1"/>
          <c:tx>
            <c:strRef>
              <c:f>'ForageMode (2)'!$AT$163</c:f>
              <c:strCache>
                <c:ptCount val="1"/>
                <c:pt idx="0">
                  <c:v>predation effect on fitness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'ForageMode (2)'!$AR$164:$AR$184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1E-3</c:v>
                </c:pt>
              </c:numCache>
            </c:numRef>
          </c:xVal>
          <c:yVal>
            <c:numRef>
              <c:f>'ForageMode (2)'!$AT$164:$AT$184</c:f>
              <c:numCache>
                <c:formatCode>General</c:formatCode>
                <c:ptCount val="21"/>
                <c:pt idx="0">
                  <c:v>0.79999999999999982</c:v>
                </c:pt>
                <c:pt idx="1">
                  <c:v>0.77809100504866269</c:v>
                </c:pt>
                <c:pt idx="2">
                  <c:v>0.75710324244634064</c:v>
                </c:pt>
                <c:pt idx="3">
                  <c:v>0.737063403710283</c:v>
                </c:pt>
                <c:pt idx="4">
                  <c:v>0.71799794535401151</c:v>
                </c:pt>
                <c:pt idx="5">
                  <c:v>0.69993295882959261</c:v>
                </c:pt>
                <c:pt idx="6">
                  <c:v>0.68289403254191905</c:v>
                </c:pt>
                <c:pt idx="7">
                  <c:v>0.66690610698151875</c:v>
                </c:pt>
                <c:pt idx="8">
                  <c:v>0.65199332428231971</c:v>
                </c:pt>
                <c:pt idx="9">
                  <c:v>0.63817887376936389</c:v>
                </c:pt>
                <c:pt idx="10">
                  <c:v>0.62548483530904031</c:v>
                </c:pt>
                <c:pt idx="11">
                  <c:v>0.61393202250020984</c:v>
                </c:pt>
                <c:pt idx="12">
                  <c:v>0.60353982793732408</c:v>
                </c:pt>
                <c:pt idx="13">
                  <c:v>0.59432607292490536</c:v>
                </c:pt>
                <c:pt idx="14">
                  <c:v>0.5863068641158784</c:v>
                </c:pt>
                <c:pt idx="15">
                  <c:v>0.5794964595748473</c:v>
                </c:pt>
                <c:pt idx="16">
                  <c:v>0.57390714672438792</c:v>
                </c:pt>
                <c:pt idx="17">
                  <c:v>0.56954913451336786</c:v>
                </c:pt>
                <c:pt idx="18">
                  <c:v>0.56643046195028868</c:v>
                </c:pt>
                <c:pt idx="19">
                  <c:v>0.56455692487446596</c:v>
                </c:pt>
                <c:pt idx="20">
                  <c:v>0.56393227250019429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2F-4BC4-8384-02043C18E596}"/>
            </c:ext>
          </c:extLst>
        </c:ser>
        <c:ser>
          <c:idx val="2"/>
          <c:order val="2"/>
          <c:tx>
            <c:strRef>
              <c:f>'ForageMode (2)'!$AU$163</c:f>
              <c:strCache>
                <c:ptCount val="1"/>
                <c:pt idx="0">
                  <c:v>fitness-w/pred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'ForageMode (2)'!$AR$164:$AR$184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1E-3</c:v>
                </c:pt>
              </c:numCache>
            </c:numRef>
          </c:xVal>
          <c:yVal>
            <c:numRef>
              <c:f>'ForageMode (2)'!$AU$164:$AU$184</c:f>
              <c:numCache>
                <c:formatCode>General</c:formatCode>
                <c:ptCount val="21"/>
                <c:pt idx="0">
                  <c:v>0.20000000000000018</c:v>
                </c:pt>
                <c:pt idx="1">
                  <c:v>0.19626796931031165</c:v>
                </c:pt>
                <c:pt idx="2">
                  <c:v>0.19026517860629089</c:v>
                </c:pt>
                <c:pt idx="3">
                  <c:v>0.18185551520863585</c:v>
                </c:pt>
                <c:pt idx="4">
                  <c:v>0.17089094353487722</c:v>
                </c:pt>
                <c:pt idx="5">
                  <c:v>0.15720989831326437</c:v>
                </c:pt>
                <c:pt idx="6">
                  <c:v>0.14063537922278668</c:v>
                </c:pt>
                <c:pt idx="7">
                  <c:v>0.12097268089726887</c:v>
                </c:pt>
                <c:pt idx="8">
                  <c:v>9.8006675717679959E-2</c:v>
                </c:pt>
                <c:pt idx="9">
                  <c:v>7.1498545585474527E-2</c:v>
                </c:pt>
                <c:pt idx="10">
                  <c:v>4.1181831357625986E-2</c:v>
                </c:pt>
                <c:pt idx="11">
                  <c:v>6.7576326722035285E-3</c:v>
                </c:pt>
                <c:pt idx="12">
                  <c:v>-3.2111256508753017E-2</c:v>
                </c:pt>
                <c:pt idx="13">
                  <c:v>-7.5807554406387201E-2</c:v>
                </c:pt>
                <c:pt idx="14">
                  <c:v>-0.12476840257741723</c:v>
                </c:pt>
                <c:pt idx="15">
                  <c:v>-0.17949645957484767</c:v>
                </c:pt>
                <c:pt idx="16">
                  <c:v>-0.24057381339105505</c:v>
                </c:pt>
                <c:pt idx="17">
                  <c:v>-0.30867956929597701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2F-4BC4-8384-02043C18E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652616"/>
        <c:axId val="1"/>
      </c:scatterChart>
      <c:valAx>
        <c:axId val="531652616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1652616"/>
        <c:crossesAt val="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650000642476408E-2"/>
          <c:y val="6.0483930510421766E-2"/>
          <c:w val="0.85354834132145674"/>
          <c:h val="0.840726634094862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'ForageMode (2)'!$Q$130</c:f>
              <c:strCache>
                <c:ptCount val="1"/>
                <c:pt idx="0">
                  <c:v>fitness-w/o P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'ForageMode (2)'!$P$131:$P$151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1E-3</c:v>
                </c:pt>
              </c:numCache>
            </c:numRef>
          </c:xVal>
          <c:yVal>
            <c:numRef>
              <c:f>'ForageMode (2)'!$Q$131:$Q$151</c:f>
              <c:numCache>
                <c:formatCode>General</c:formatCode>
                <c:ptCount val="21"/>
                <c:pt idx="0">
                  <c:v>1</c:v>
                </c:pt>
                <c:pt idx="1">
                  <c:v>0.99418604651162779</c:v>
                </c:pt>
                <c:pt idx="2">
                  <c:v>0.98780487804878048</c:v>
                </c:pt>
                <c:pt idx="3">
                  <c:v>0.98076923076923073</c:v>
                </c:pt>
                <c:pt idx="4">
                  <c:v>0.97297297297297292</c:v>
                </c:pt>
                <c:pt idx="5">
                  <c:v>0.9642857142857143</c:v>
                </c:pt>
                <c:pt idx="6">
                  <c:v>0.95454545454545447</c:v>
                </c:pt>
                <c:pt idx="7">
                  <c:v>0.94354838709677413</c:v>
                </c:pt>
                <c:pt idx="8">
                  <c:v>0.93103448275862055</c:v>
                </c:pt>
                <c:pt idx="9">
                  <c:v>0.91666666666666663</c:v>
                </c:pt>
                <c:pt idx="10">
                  <c:v>0.89999999999999991</c:v>
                </c:pt>
                <c:pt idx="11">
                  <c:v>0.88043478260869545</c:v>
                </c:pt>
                <c:pt idx="12">
                  <c:v>0.85714285714285687</c:v>
                </c:pt>
                <c:pt idx="13">
                  <c:v>0.82894736842105243</c:v>
                </c:pt>
                <c:pt idx="14">
                  <c:v>0.79411764705882326</c:v>
                </c:pt>
                <c:pt idx="15">
                  <c:v>0.74999999999999967</c:v>
                </c:pt>
                <c:pt idx="16">
                  <c:v>0.69230769230769185</c:v>
                </c:pt>
                <c:pt idx="17">
                  <c:v>0.61363636363636309</c:v>
                </c:pt>
                <c:pt idx="18">
                  <c:v>0.49999999999999906</c:v>
                </c:pt>
                <c:pt idx="19">
                  <c:v>0.32142857142857001</c:v>
                </c:pt>
                <c:pt idx="20">
                  <c:v>8.9285714285714298E-3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50-40A5-88F8-F898CF6F6AA1}"/>
            </c:ext>
          </c:extLst>
        </c:ser>
        <c:ser>
          <c:idx val="1"/>
          <c:order val="1"/>
          <c:tx>
            <c:strRef>
              <c:f>'ForageMode (2)'!$R$130</c:f>
              <c:strCache>
                <c:ptCount val="1"/>
                <c:pt idx="0">
                  <c:v>predation effect on fitness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'ForageMode (2)'!$P$131:$P$151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1E-3</c:v>
                </c:pt>
              </c:numCache>
            </c:numRef>
          </c:xVal>
          <c:yVal>
            <c:numRef>
              <c:f>'ForageMode (2)'!$R$131:$R$151</c:f>
              <c:numCache>
                <c:formatCode>General</c:formatCode>
                <c:ptCount val="21"/>
                <c:pt idx="0">
                  <c:v>0.9</c:v>
                </c:pt>
                <c:pt idx="1">
                  <c:v>0.86713905866292507</c:v>
                </c:pt>
                <c:pt idx="2">
                  <c:v>0.83476837224113709</c:v>
                </c:pt>
                <c:pt idx="3">
                  <c:v>0.80294723656407352</c:v>
                </c:pt>
                <c:pt idx="4">
                  <c:v>0.77174363314128958</c:v>
                </c:pt>
                <c:pt idx="5">
                  <c:v>0.74123555436772148</c:v>
                </c:pt>
                <c:pt idx="6">
                  <c:v>0.71151247353788527</c:v>
                </c:pt>
                <c:pt idx="7">
                  <c:v>0.68267693246340677</c:v>
                </c:pt>
                <c:pt idx="8">
                  <c:v>0.65484618759809887</c:v>
                </c:pt>
                <c:pt idx="9">
                  <c:v>0.62815380750446193</c:v>
                </c:pt>
                <c:pt idx="10">
                  <c:v>0.60275104606247809</c:v>
                </c:pt>
                <c:pt idx="11">
                  <c:v>0.57880772485596721</c:v>
                </c:pt>
                <c:pt idx="12">
                  <c:v>0.55651224816075795</c:v>
                </c:pt>
                <c:pt idx="13">
                  <c:v>0.53607025988149315</c:v>
                </c:pt>
                <c:pt idx="14">
                  <c:v>0.51770136747197493</c:v>
                </c:pt>
                <c:pt idx="15">
                  <c:v>0.50163336154183835</c:v>
                </c:pt>
                <c:pt idx="16">
                  <c:v>0.48809353009197637</c:v>
                </c:pt>
                <c:pt idx="17">
                  <c:v>0.47729707730091953</c:v>
                </c:pt>
                <c:pt idx="18">
                  <c:v>0.46943332546680527</c:v>
                </c:pt>
                <c:pt idx="19">
                  <c:v>0.46465119745258127</c:v>
                </c:pt>
                <c:pt idx="20">
                  <c:v>0.4630468230040215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50-40A5-88F8-F898CF6F6AA1}"/>
            </c:ext>
          </c:extLst>
        </c:ser>
        <c:ser>
          <c:idx val="2"/>
          <c:order val="2"/>
          <c:tx>
            <c:strRef>
              <c:f>'ForageMode (2)'!$S$130</c:f>
              <c:strCache>
                <c:ptCount val="1"/>
                <c:pt idx="0">
                  <c:v>fitness-w/pred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'ForageMode (2)'!$P$131:$P$151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1E-3</c:v>
                </c:pt>
              </c:numCache>
            </c:numRef>
          </c:xVal>
          <c:yVal>
            <c:numRef>
              <c:f>'ForageMode (2)'!$S$131:$S$151</c:f>
              <c:numCache>
                <c:formatCode>General</c:formatCode>
                <c:ptCount val="21"/>
                <c:pt idx="0">
                  <c:v>9.9999999999999978E-2</c:v>
                </c:pt>
                <c:pt idx="1">
                  <c:v>0.12704698784870272</c:v>
                </c:pt>
                <c:pt idx="2">
                  <c:v>0.15303650580764339</c:v>
                </c:pt>
                <c:pt idx="3">
                  <c:v>0.17782199420515721</c:v>
                </c:pt>
                <c:pt idx="4">
                  <c:v>0.20122933983168334</c:v>
                </c:pt>
                <c:pt idx="5">
                  <c:v>0.22305015991799282</c:v>
                </c:pt>
                <c:pt idx="6">
                  <c:v>0.2430329810075692</c:v>
                </c:pt>
                <c:pt idx="7">
                  <c:v>0.26087145463336736</c:v>
                </c:pt>
                <c:pt idx="8">
                  <c:v>0.27618829516052168</c:v>
                </c:pt>
                <c:pt idx="9">
                  <c:v>0.2885128591622047</c:v>
                </c:pt>
                <c:pt idx="10">
                  <c:v>0.29724895393752182</c:v>
                </c:pt>
                <c:pt idx="11">
                  <c:v>0.30162705775272824</c:v>
                </c:pt>
                <c:pt idx="12">
                  <c:v>0.30063060898209892</c:v>
                </c:pt>
                <c:pt idx="13">
                  <c:v>0.29287710853955928</c:v>
                </c:pt>
                <c:pt idx="14">
                  <c:v>0.27641627958684833</c:v>
                </c:pt>
                <c:pt idx="15">
                  <c:v>0.24836663845816132</c:v>
                </c:pt>
                <c:pt idx="16">
                  <c:v>0.20421416221571548</c:v>
                </c:pt>
                <c:pt idx="17">
                  <c:v>0.13633928633544357</c:v>
                </c:pt>
                <c:pt idx="18">
                  <c:v>3.0566674533193783E-2</c:v>
                </c:pt>
                <c:pt idx="19">
                  <c:v>-0.14322262602401126</c:v>
                </c:pt>
                <c:pt idx="20">
                  <c:v>-0.45411825157545005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50-40A5-88F8-F898CF6F6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659832"/>
        <c:axId val="1"/>
      </c:scatterChart>
      <c:valAx>
        <c:axId val="531659832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1659832"/>
        <c:crossesAt val="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650000642476408E-2"/>
          <c:y val="6.0483930510421766E-2"/>
          <c:w val="0.85354834132145674"/>
          <c:h val="0.840726634094862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'ForageMode (2)'!$AE$130</c:f>
              <c:strCache>
                <c:ptCount val="1"/>
                <c:pt idx="0">
                  <c:v>fitness-w/o P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'ForageMode (2)'!$AD$131:$AD$151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1E-3</c:v>
                </c:pt>
              </c:numCache>
            </c:numRef>
          </c:xVal>
          <c:yVal>
            <c:numRef>
              <c:f>'ForageMode (2)'!$AE$131:$AE$151</c:f>
              <c:numCache>
                <c:formatCode>General</c:formatCode>
                <c:ptCount val="21"/>
                <c:pt idx="0">
                  <c:v>1</c:v>
                </c:pt>
                <c:pt idx="1">
                  <c:v>0.97435897435897434</c:v>
                </c:pt>
                <c:pt idx="2">
                  <c:v>0.94736842105263153</c:v>
                </c:pt>
                <c:pt idx="3">
                  <c:v>0.91891891891891886</c:v>
                </c:pt>
                <c:pt idx="4">
                  <c:v>0.88888888888888873</c:v>
                </c:pt>
                <c:pt idx="5">
                  <c:v>0.85714285714285698</c:v>
                </c:pt>
                <c:pt idx="6">
                  <c:v>0.82352941176470573</c:v>
                </c:pt>
                <c:pt idx="7">
                  <c:v>0.78787878787878762</c:v>
                </c:pt>
                <c:pt idx="8">
                  <c:v>0.74999999999999967</c:v>
                </c:pt>
                <c:pt idx="9">
                  <c:v>0.70967741935483841</c:v>
                </c:pt>
                <c:pt idx="10">
                  <c:v>0.6666666666666663</c:v>
                </c:pt>
                <c:pt idx="11">
                  <c:v>0.62068965517241337</c:v>
                </c:pt>
                <c:pt idx="12">
                  <c:v>0.57142857142857106</c:v>
                </c:pt>
                <c:pt idx="13">
                  <c:v>0.51851851851851816</c:v>
                </c:pt>
                <c:pt idx="14">
                  <c:v>0.46153846153846118</c:v>
                </c:pt>
                <c:pt idx="15">
                  <c:v>0.39999999999999963</c:v>
                </c:pt>
                <c:pt idx="16">
                  <c:v>0.33333333333333287</c:v>
                </c:pt>
                <c:pt idx="17">
                  <c:v>0.26086956521739085</c:v>
                </c:pt>
                <c:pt idx="18">
                  <c:v>0.1818181818181813</c:v>
                </c:pt>
                <c:pt idx="19">
                  <c:v>9.5238095238094678E-2</c:v>
                </c:pt>
                <c:pt idx="20">
                  <c:v>1.9980019980019984E-3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1C-48F2-9DE2-E2BA6F6DEBF7}"/>
            </c:ext>
          </c:extLst>
        </c:ser>
        <c:ser>
          <c:idx val="1"/>
          <c:order val="1"/>
          <c:tx>
            <c:strRef>
              <c:f>'ForageMode (2)'!$AF$130</c:f>
              <c:strCache>
                <c:ptCount val="1"/>
                <c:pt idx="0">
                  <c:v>predation effect on fitness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'ForageMode (2)'!$AD$131:$AD$151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1E-3</c:v>
                </c:pt>
              </c:numCache>
            </c:numRef>
          </c:xVal>
          <c:yVal>
            <c:numRef>
              <c:f>'ForageMode (2)'!$AF$131:$AF$151</c:f>
              <c:numCache>
                <c:formatCode>General</c:formatCode>
                <c:ptCount val="21"/>
                <c:pt idx="0">
                  <c:v>0.44999999999999996</c:v>
                </c:pt>
                <c:pt idx="1">
                  <c:v>0.43356952933146248</c:v>
                </c:pt>
                <c:pt idx="2">
                  <c:v>0.41738418612056849</c:v>
                </c:pt>
                <c:pt idx="3">
                  <c:v>0.40147361828203676</c:v>
                </c:pt>
                <c:pt idx="4">
                  <c:v>0.38587181657064484</c:v>
                </c:pt>
                <c:pt idx="5">
                  <c:v>0.37061777718386074</c:v>
                </c:pt>
                <c:pt idx="6">
                  <c:v>0.35575623676894258</c:v>
                </c:pt>
                <c:pt idx="7">
                  <c:v>0.34133846623170333</c:v>
                </c:pt>
                <c:pt idx="8">
                  <c:v>0.32742309379904944</c:v>
                </c:pt>
                <c:pt idx="9">
                  <c:v>0.31407690375223102</c:v>
                </c:pt>
                <c:pt idx="10">
                  <c:v>0.30137552303123905</c:v>
                </c:pt>
                <c:pt idx="11">
                  <c:v>0.2894038624279836</c:v>
                </c:pt>
                <c:pt idx="12">
                  <c:v>0.27825612408037897</c:v>
                </c:pt>
                <c:pt idx="13">
                  <c:v>0.26803512994074657</c:v>
                </c:pt>
                <c:pt idx="14">
                  <c:v>0.25885068373598746</c:v>
                </c:pt>
                <c:pt idx="15">
                  <c:v>0.25081668077091918</c:v>
                </c:pt>
                <c:pt idx="16">
                  <c:v>0.24404676504598816</c:v>
                </c:pt>
                <c:pt idx="17">
                  <c:v>0.23864853865045976</c:v>
                </c:pt>
                <c:pt idx="18">
                  <c:v>0.23471666273340264</c:v>
                </c:pt>
                <c:pt idx="19">
                  <c:v>0.23232559872629061</c:v>
                </c:pt>
                <c:pt idx="20">
                  <c:v>0.23152341150201075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1C-48F2-9DE2-E2BA6F6DEBF7}"/>
            </c:ext>
          </c:extLst>
        </c:ser>
        <c:ser>
          <c:idx val="2"/>
          <c:order val="2"/>
          <c:tx>
            <c:strRef>
              <c:f>'ForageMode (2)'!$AG$130</c:f>
              <c:strCache>
                <c:ptCount val="1"/>
                <c:pt idx="0">
                  <c:v>fitness-w/pred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'ForageMode (2)'!$AD$131:$AD$151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1E-3</c:v>
                </c:pt>
              </c:numCache>
            </c:numRef>
          </c:xVal>
          <c:yVal>
            <c:numRef>
              <c:f>'ForageMode (2)'!$AG$131:$AG$151</c:f>
              <c:numCache>
                <c:formatCode>General</c:formatCode>
                <c:ptCount val="21"/>
                <c:pt idx="0">
                  <c:v>0.55000000000000004</c:v>
                </c:pt>
                <c:pt idx="1">
                  <c:v>0.54078944502751192</c:v>
                </c:pt>
                <c:pt idx="2">
                  <c:v>0.52998423493206304</c:v>
                </c:pt>
                <c:pt idx="3">
                  <c:v>0.5174453006368821</c:v>
                </c:pt>
                <c:pt idx="4">
                  <c:v>0.50301707231824389</c:v>
                </c:pt>
                <c:pt idx="5">
                  <c:v>0.48652507995899624</c:v>
                </c:pt>
                <c:pt idx="6">
                  <c:v>0.46777317499576315</c:v>
                </c:pt>
                <c:pt idx="7">
                  <c:v>0.44654032164708429</c:v>
                </c:pt>
                <c:pt idx="8">
                  <c:v>0.42257690620095023</c:v>
                </c:pt>
                <c:pt idx="9">
                  <c:v>0.39560051560260739</c:v>
                </c:pt>
                <c:pt idx="10">
                  <c:v>0.36529114363542725</c:v>
                </c:pt>
                <c:pt idx="11">
                  <c:v>0.33128579274442976</c:v>
                </c:pt>
                <c:pt idx="12">
                  <c:v>0.29317244734819209</c:v>
                </c:pt>
                <c:pt idx="13">
                  <c:v>0.25048338857777158</c:v>
                </c:pt>
                <c:pt idx="14">
                  <c:v>0.20268777780247371</c:v>
                </c:pt>
                <c:pt idx="15">
                  <c:v>0.14918331922908046</c:v>
                </c:pt>
                <c:pt idx="16">
                  <c:v>8.9286568287344714E-2</c:v>
                </c:pt>
                <c:pt idx="17">
                  <c:v>2.222102656693109E-2</c:v>
                </c:pt>
                <c:pt idx="18">
                  <c:v>-5.2898480915221341E-2</c:v>
                </c:pt>
                <c:pt idx="19">
                  <c:v>-0.13708750348819593</c:v>
                </c:pt>
                <c:pt idx="20">
                  <c:v>-0.22952540950400876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1C-48F2-9DE2-E2BA6F6DE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658192"/>
        <c:axId val="1"/>
      </c:scatterChart>
      <c:valAx>
        <c:axId val="531658192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1658192"/>
        <c:crossesAt val="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650000642476408E-2"/>
          <c:y val="6.0483930510421766E-2"/>
          <c:w val="0.85354834132145674"/>
          <c:h val="0.840726634094862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'ForageMode (2)'!$C$130</c:f>
              <c:strCache>
                <c:ptCount val="1"/>
                <c:pt idx="0">
                  <c:v>fitness-w/o P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'ForageMode (2)'!$B$131:$B$151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7.0000000000000007E-2</c:v>
                </c:pt>
                <c:pt idx="20">
                  <c:v>1E-3</c:v>
                </c:pt>
              </c:numCache>
            </c:numRef>
          </c:xVal>
          <c:yVal>
            <c:numRef>
              <c:f>'ForageMode (2)'!$C$131:$C$151</c:f>
              <c:numCache>
                <c:formatCode>General</c:formatCode>
                <c:ptCount val="21"/>
                <c:pt idx="0">
                  <c:v>1</c:v>
                </c:pt>
                <c:pt idx="1">
                  <c:v>0.99418604651162779</c:v>
                </c:pt>
                <c:pt idx="2">
                  <c:v>0.98780487804878048</c:v>
                </c:pt>
                <c:pt idx="3">
                  <c:v>0.98076923076923073</c:v>
                </c:pt>
                <c:pt idx="4">
                  <c:v>0.97297297297297292</c:v>
                </c:pt>
                <c:pt idx="5">
                  <c:v>0.9642857142857143</c:v>
                </c:pt>
                <c:pt idx="6">
                  <c:v>0.95454545454545447</c:v>
                </c:pt>
                <c:pt idx="7">
                  <c:v>0.94354838709677413</c:v>
                </c:pt>
                <c:pt idx="8">
                  <c:v>0.93103448275862055</c:v>
                </c:pt>
                <c:pt idx="9">
                  <c:v>0.91666666666666663</c:v>
                </c:pt>
                <c:pt idx="10">
                  <c:v>0.89999999999999991</c:v>
                </c:pt>
                <c:pt idx="11">
                  <c:v>0.88043478260869545</c:v>
                </c:pt>
                <c:pt idx="12">
                  <c:v>0.85714285714285687</c:v>
                </c:pt>
                <c:pt idx="13">
                  <c:v>0.82894736842105243</c:v>
                </c:pt>
                <c:pt idx="14">
                  <c:v>0.79411764705882326</c:v>
                </c:pt>
                <c:pt idx="15">
                  <c:v>0.74999999999999967</c:v>
                </c:pt>
                <c:pt idx="16">
                  <c:v>0.69230769230769185</c:v>
                </c:pt>
                <c:pt idx="17">
                  <c:v>0.61363636363636309</c:v>
                </c:pt>
                <c:pt idx="18">
                  <c:v>0.49999999999999906</c:v>
                </c:pt>
                <c:pt idx="19">
                  <c:v>0.40384615384615391</c:v>
                </c:pt>
                <c:pt idx="20">
                  <c:v>8.9285714285714298E-3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D8-4D37-9230-5D011485E700}"/>
            </c:ext>
          </c:extLst>
        </c:ser>
        <c:ser>
          <c:idx val="1"/>
          <c:order val="1"/>
          <c:tx>
            <c:strRef>
              <c:f>'ForageMode (2)'!$D$130</c:f>
              <c:strCache>
                <c:ptCount val="1"/>
                <c:pt idx="0">
                  <c:v>predation effect on fitness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'ForageMode (2)'!$B$131:$B$151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7.0000000000000007E-2</c:v>
                </c:pt>
                <c:pt idx="20">
                  <c:v>1E-3</c:v>
                </c:pt>
              </c:numCache>
            </c:numRef>
          </c:xVal>
          <c:yVal>
            <c:numRef>
              <c:f>'ForageMode (2)'!$D$131:$D$151</c:f>
              <c:numCache>
                <c:formatCode>General</c:formatCode>
                <c:ptCount val="21"/>
                <c:pt idx="0">
                  <c:v>0.45</c:v>
                </c:pt>
                <c:pt idx="1">
                  <c:v>0.42838723720484478</c:v>
                </c:pt>
                <c:pt idx="2">
                  <c:v>0.40682282100726314</c:v>
                </c:pt>
                <c:pt idx="3">
                  <c:v>0.38531486874622817</c:v>
                </c:pt>
                <c:pt idx="4">
                  <c:v>0.36387339302818789</c:v>
                </c:pt>
                <c:pt idx="5">
                  <c:v>0.34251087854705703</c:v>
                </c:pt>
                <c:pt idx="6">
                  <c:v>0.32124307834506766</c:v>
                </c:pt>
                <c:pt idx="7">
                  <c:v>0.30009013069153317</c:v>
                </c:pt>
                <c:pt idx="8">
                  <c:v>0.27907815282571885</c:v>
                </c:pt>
                <c:pt idx="9">
                  <c:v>0.25824155731229015</c:v>
                </c:pt>
                <c:pt idx="10">
                  <c:v>0.23762648453791102</c:v>
                </c:pt>
                <c:pt idx="11">
                  <c:v>0.21729599185655268</c:v>
                </c:pt>
                <c:pt idx="12">
                  <c:v>0.19733805434408141</c:v>
                </c:pt>
                <c:pt idx="13">
                  <c:v>0.17787811838447121</c:v>
                </c:pt>
                <c:pt idx="14">
                  <c:v>0.15909902576697305</c:v>
                </c:pt>
                <c:pt idx="15">
                  <c:v>0.14127254755368313</c:v>
                </c:pt>
                <c:pt idx="16">
                  <c:v>0.12480754415067646</c:v>
                </c:pt>
                <c:pt idx="17">
                  <c:v>0.11031532601522845</c:v>
                </c:pt>
                <c:pt idx="18">
                  <c:v>9.8669027172040721E-2</c:v>
                </c:pt>
                <c:pt idx="19">
                  <c:v>9.0968348257046971E-2</c:v>
                </c:pt>
                <c:pt idx="20">
                  <c:v>8.8253363958548353E-2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D8-4D37-9230-5D011485E700}"/>
            </c:ext>
          </c:extLst>
        </c:ser>
        <c:ser>
          <c:idx val="2"/>
          <c:order val="2"/>
          <c:tx>
            <c:strRef>
              <c:f>'ForageMode (2)'!$E$130</c:f>
              <c:strCache>
                <c:ptCount val="1"/>
                <c:pt idx="0">
                  <c:v>fitness-w/pred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'ForageMode (2)'!$B$131:$B$151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7.0000000000000007E-2</c:v>
                </c:pt>
                <c:pt idx="20">
                  <c:v>1E-3</c:v>
                </c:pt>
              </c:numCache>
            </c:numRef>
          </c:xVal>
          <c:yVal>
            <c:numRef>
              <c:f>'ForageMode (2)'!$E$131:$E$151</c:f>
              <c:numCache>
                <c:formatCode>General</c:formatCode>
                <c:ptCount val="21"/>
                <c:pt idx="0">
                  <c:v>0.55000000000000004</c:v>
                </c:pt>
                <c:pt idx="1">
                  <c:v>0.56579880930678295</c:v>
                </c:pt>
                <c:pt idx="2">
                  <c:v>0.5809820570415174</c:v>
                </c:pt>
                <c:pt idx="3">
                  <c:v>0.59545436202300261</c:v>
                </c:pt>
                <c:pt idx="4">
                  <c:v>0.60909957994478503</c:v>
                </c:pt>
                <c:pt idx="5">
                  <c:v>0.62177483573865722</c:v>
                </c:pt>
                <c:pt idx="6">
                  <c:v>0.63330237620038687</c:v>
                </c:pt>
                <c:pt idx="7">
                  <c:v>0.6434582564052409</c:v>
                </c:pt>
                <c:pt idx="8">
                  <c:v>0.65195632993290165</c:v>
                </c:pt>
                <c:pt idx="9">
                  <c:v>0.65842510935437648</c:v>
                </c:pt>
                <c:pt idx="10">
                  <c:v>0.66237351546208889</c:v>
                </c:pt>
                <c:pt idx="11">
                  <c:v>0.66313879075214277</c:v>
                </c:pt>
                <c:pt idx="12">
                  <c:v>0.65980480279877551</c:v>
                </c:pt>
                <c:pt idx="13">
                  <c:v>0.65106925003658123</c:v>
                </c:pt>
                <c:pt idx="14">
                  <c:v>0.63501862129185027</c:v>
                </c:pt>
                <c:pt idx="15">
                  <c:v>0.60872745244631654</c:v>
                </c:pt>
                <c:pt idx="16">
                  <c:v>0.56750014815701544</c:v>
                </c:pt>
                <c:pt idx="17">
                  <c:v>0.50332103762113467</c:v>
                </c:pt>
                <c:pt idx="18">
                  <c:v>0.40133097282795832</c:v>
                </c:pt>
                <c:pt idx="19">
                  <c:v>0.31287780558910694</c:v>
                </c:pt>
                <c:pt idx="20">
                  <c:v>-7.9324792529976929E-2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D8-4D37-9230-5D011485E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663112"/>
        <c:axId val="1"/>
      </c:scatterChart>
      <c:valAx>
        <c:axId val="531663112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1663112"/>
        <c:crossesAt val="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650000642476408E-2"/>
          <c:y val="6.0483930510421766E-2"/>
          <c:w val="0.85354834132145674"/>
          <c:h val="0.840726634094862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'ForageMode (2)'!$AS$130</c:f>
              <c:strCache>
                <c:ptCount val="1"/>
                <c:pt idx="0">
                  <c:v>fitness-w/o P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'ForageMode (2)'!$AR$131:$AR$151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5.0000000000000001E-3</c:v>
                </c:pt>
              </c:numCache>
            </c:numRef>
          </c:xVal>
          <c:yVal>
            <c:numRef>
              <c:f>'ForageMode (2)'!$AS$131:$AS$151</c:f>
              <c:numCache>
                <c:formatCode>General</c:formatCode>
                <c:ptCount val="21"/>
                <c:pt idx="0">
                  <c:v>1</c:v>
                </c:pt>
                <c:pt idx="1">
                  <c:v>0.97435897435897434</c:v>
                </c:pt>
                <c:pt idx="2">
                  <c:v>0.94736842105263153</c:v>
                </c:pt>
                <c:pt idx="3">
                  <c:v>0.91891891891891886</c:v>
                </c:pt>
                <c:pt idx="4">
                  <c:v>0.88888888888888873</c:v>
                </c:pt>
                <c:pt idx="5">
                  <c:v>0.85714285714285698</c:v>
                </c:pt>
                <c:pt idx="6">
                  <c:v>0.82352941176470573</c:v>
                </c:pt>
                <c:pt idx="7">
                  <c:v>0.78787878787878762</c:v>
                </c:pt>
                <c:pt idx="8">
                  <c:v>0.74999999999999967</c:v>
                </c:pt>
                <c:pt idx="9">
                  <c:v>0.70967741935483841</c:v>
                </c:pt>
                <c:pt idx="10">
                  <c:v>0.6666666666666663</c:v>
                </c:pt>
                <c:pt idx="11">
                  <c:v>0.62068965517241337</c:v>
                </c:pt>
                <c:pt idx="12">
                  <c:v>0.57142857142857106</c:v>
                </c:pt>
                <c:pt idx="13">
                  <c:v>0.51851851851851816</c:v>
                </c:pt>
                <c:pt idx="14">
                  <c:v>0.46153846153846118</c:v>
                </c:pt>
                <c:pt idx="15">
                  <c:v>0.39999999999999963</c:v>
                </c:pt>
                <c:pt idx="16">
                  <c:v>0.33333333333333287</c:v>
                </c:pt>
                <c:pt idx="17">
                  <c:v>0.26086956521739085</c:v>
                </c:pt>
                <c:pt idx="18">
                  <c:v>0.1818181818181813</c:v>
                </c:pt>
                <c:pt idx="19">
                  <c:v>9.5238095238094678E-2</c:v>
                </c:pt>
                <c:pt idx="20">
                  <c:v>9.950248756218907E-3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BF-417A-9997-A678357AC967}"/>
            </c:ext>
          </c:extLst>
        </c:ser>
        <c:ser>
          <c:idx val="1"/>
          <c:order val="1"/>
          <c:tx>
            <c:strRef>
              <c:f>'ForageMode (2)'!$AT$130</c:f>
              <c:strCache>
                <c:ptCount val="1"/>
                <c:pt idx="0">
                  <c:v>predation effect on fitness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'ForageMode (2)'!$AR$131:$AR$151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5.0000000000000001E-3</c:v>
                </c:pt>
              </c:numCache>
            </c:numRef>
          </c:xVal>
          <c:yVal>
            <c:numRef>
              <c:f>'ForageMode (2)'!$AT$131:$AT$151</c:f>
              <c:numCache>
                <c:formatCode>General</c:formatCode>
                <c:ptCount val="21"/>
                <c:pt idx="0">
                  <c:v>0.67500000000000004</c:v>
                </c:pt>
                <c:pt idx="1">
                  <c:v>0.6503542939971938</c:v>
                </c:pt>
                <c:pt idx="2">
                  <c:v>0.62607627918085285</c:v>
                </c:pt>
                <c:pt idx="3">
                  <c:v>0.60221042742305519</c:v>
                </c:pt>
                <c:pt idx="4">
                  <c:v>0.57880772485596721</c:v>
                </c:pt>
                <c:pt idx="5">
                  <c:v>0.55592666577579108</c:v>
                </c:pt>
                <c:pt idx="6">
                  <c:v>0.53363435515341395</c:v>
                </c:pt>
                <c:pt idx="7">
                  <c:v>0.51200769934755508</c:v>
                </c:pt>
                <c:pt idx="8">
                  <c:v>0.49113464069857421</c:v>
                </c:pt>
                <c:pt idx="9">
                  <c:v>0.4711153556283465</c:v>
                </c:pt>
                <c:pt idx="10">
                  <c:v>0.45206328454685857</c:v>
                </c:pt>
                <c:pt idx="11">
                  <c:v>0.43410579364197543</c:v>
                </c:pt>
                <c:pt idx="12">
                  <c:v>0.41738418612056849</c:v>
                </c:pt>
                <c:pt idx="13">
                  <c:v>0.40205269491111989</c:v>
                </c:pt>
                <c:pt idx="14">
                  <c:v>0.38827602560398117</c:v>
                </c:pt>
                <c:pt idx="15">
                  <c:v>0.37622502115637879</c:v>
                </c:pt>
                <c:pt idx="16">
                  <c:v>0.36607014756898226</c:v>
                </c:pt>
                <c:pt idx="17">
                  <c:v>0.35797280797568964</c:v>
                </c:pt>
                <c:pt idx="18">
                  <c:v>0.35207499410010396</c:v>
                </c:pt>
                <c:pt idx="19">
                  <c:v>0.34848839808943594</c:v>
                </c:pt>
                <c:pt idx="20">
                  <c:v>0.34728511725301614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BF-417A-9997-A678357AC967}"/>
            </c:ext>
          </c:extLst>
        </c:ser>
        <c:ser>
          <c:idx val="2"/>
          <c:order val="2"/>
          <c:tx>
            <c:strRef>
              <c:f>'ForageMode (2)'!$AU$130</c:f>
              <c:strCache>
                <c:ptCount val="1"/>
                <c:pt idx="0">
                  <c:v>fitness-w/pred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'ForageMode (2)'!$AR$131:$AR$151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5.0000000000000001E-3</c:v>
                </c:pt>
              </c:numCache>
            </c:numRef>
          </c:xVal>
          <c:yVal>
            <c:numRef>
              <c:f>'ForageMode (2)'!$AU$131:$AU$151</c:f>
              <c:numCache>
                <c:formatCode>General</c:formatCode>
                <c:ptCount val="21"/>
                <c:pt idx="0">
                  <c:v>0.32499999999999996</c:v>
                </c:pt>
                <c:pt idx="1">
                  <c:v>0.32400468036178054</c:v>
                </c:pt>
                <c:pt idx="2">
                  <c:v>0.32129214187177868</c:v>
                </c:pt>
                <c:pt idx="3">
                  <c:v>0.31670849149586366</c:v>
                </c:pt>
                <c:pt idx="4">
                  <c:v>0.31008116403292152</c:v>
                </c:pt>
                <c:pt idx="5">
                  <c:v>0.3012161913670659</c:v>
                </c:pt>
                <c:pt idx="6">
                  <c:v>0.28989505661129178</c:v>
                </c:pt>
                <c:pt idx="7">
                  <c:v>0.27587108853123254</c:v>
                </c:pt>
                <c:pt idx="8">
                  <c:v>0.25886535930142546</c:v>
                </c:pt>
                <c:pt idx="9">
                  <c:v>0.23856206372649191</c:v>
                </c:pt>
                <c:pt idx="10">
                  <c:v>0.21460338211980773</c:v>
                </c:pt>
                <c:pt idx="11">
                  <c:v>0.18658386153043793</c:v>
                </c:pt>
                <c:pt idx="12">
                  <c:v>0.15404438530800257</c:v>
                </c:pt>
                <c:pt idx="13">
                  <c:v>0.11646582360739827</c:v>
                </c:pt>
                <c:pt idx="14">
                  <c:v>7.3262435934480008E-2</c:v>
                </c:pt>
                <c:pt idx="15">
                  <c:v>2.3774978843620842E-2</c:v>
                </c:pt>
                <c:pt idx="16">
                  <c:v>-3.2736814235649392E-2</c:v>
                </c:pt>
                <c:pt idx="17">
                  <c:v>-9.7103242758298791E-2</c:v>
                </c:pt>
                <c:pt idx="18">
                  <c:v>-0.17025681228192266</c:v>
                </c:pt>
                <c:pt idx="19">
                  <c:v>-0.25325030285134126</c:v>
                </c:pt>
                <c:pt idx="20">
                  <c:v>-0.33733486849679722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BF-417A-9997-A678357AC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473736"/>
        <c:axId val="1"/>
      </c:scatterChart>
      <c:valAx>
        <c:axId val="532473736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2473736"/>
        <c:crossesAt val="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ForageMode!#REF!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ForageMode!#REF!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ForageMode!#REF!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B6-4C28-B9B3-2A11350D28BA}"/>
            </c:ext>
          </c:extLst>
        </c:ser>
        <c:ser>
          <c:idx val="1"/>
          <c:order val="1"/>
          <c:tx>
            <c:v>ForageMode!#REF!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ForageMode!#REF!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ForageMode!#REF!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B6-4C28-B9B3-2A11350D28BA}"/>
            </c:ext>
          </c:extLst>
        </c:ser>
        <c:ser>
          <c:idx val="2"/>
          <c:order val="2"/>
          <c:tx>
            <c:v>ForageMode!#REF!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ForageMode!#REF!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ForageMode!#REF!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B6-4C28-B9B3-2A11350D2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471768"/>
        <c:axId val="1"/>
      </c:scatterChart>
      <c:valAx>
        <c:axId val="532471768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2471768"/>
        <c:crossesAt val="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ForageMode!#REF!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ForageMode!#REF!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ForageMode!#REF!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91-41EE-BD97-DB929B020348}"/>
            </c:ext>
          </c:extLst>
        </c:ser>
        <c:ser>
          <c:idx val="1"/>
          <c:order val="1"/>
          <c:tx>
            <c:v>ForageMode!#REF!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ForageMode!#REF!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ForageMode!#REF!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91-41EE-BD97-DB929B020348}"/>
            </c:ext>
          </c:extLst>
        </c:ser>
        <c:ser>
          <c:idx val="2"/>
          <c:order val="2"/>
          <c:tx>
            <c:v>ForageMode!#REF!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ForageMode!#REF!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ForageMode!#REF!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91-41EE-BD97-DB929B020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477344"/>
        <c:axId val="1"/>
      </c:scatterChart>
      <c:valAx>
        <c:axId val="532477344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2477344"/>
        <c:crossesAt val="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ForageMode!#REF!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ForageMode!#REF!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ForageMode!#REF!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5F-49FF-9C02-BE8429135B47}"/>
            </c:ext>
          </c:extLst>
        </c:ser>
        <c:ser>
          <c:idx val="1"/>
          <c:order val="1"/>
          <c:tx>
            <c:v>ForageMode!#REF!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ForageMode!#REF!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ForageMode!#REF!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5F-49FF-9C02-BE8429135B47}"/>
            </c:ext>
          </c:extLst>
        </c:ser>
        <c:ser>
          <c:idx val="2"/>
          <c:order val="2"/>
          <c:tx>
            <c:v>ForageMode!#REF!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ForageMode!#REF!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ForageMode!#REF!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5F-49FF-9C02-BE8429135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469472"/>
        <c:axId val="1"/>
      </c:scatterChart>
      <c:valAx>
        <c:axId val="532469472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2469472"/>
        <c:crossesAt val="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ForageMode!#REF!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ForageMode!#REF!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ForageMode!#REF!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5C-4724-88EB-C963D37BA35F}"/>
            </c:ext>
          </c:extLst>
        </c:ser>
        <c:ser>
          <c:idx val="1"/>
          <c:order val="1"/>
          <c:tx>
            <c:v>ForageMode!#REF!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ForageMode!#REF!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ForageMode!#REF!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5C-4724-88EB-C963D37BA35F}"/>
            </c:ext>
          </c:extLst>
        </c:ser>
        <c:ser>
          <c:idx val="2"/>
          <c:order val="2"/>
          <c:tx>
            <c:v>ForageMode!#REF!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ForageMode!#REF!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ForageMode!#REF!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5C-4724-88EB-C963D37BA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481280"/>
        <c:axId val="1"/>
      </c:scatterChart>
      <c:valAx>
        <c:axId val="532481280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2481280"/>
        <c:crossesAt val="1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650000642476408E-2"/>
          <c:y val="6.0483930510421766E-2"/>
          <c:w val="0.85354834132145674"/>
          <c:h val="0.840726634094862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'ForageMode (2)'!$C$98</c:f>
              <c:strCache>
                <c:ptCount val="1"/>
                <c:pt idx="0">
                  <c:v>fitness-w/o P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'ForageMode (2)'!$B$99:$B$119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(2)'!$C$99:$C$119</c:f>
              <c:numCache>
                <c:formatCode>General</c:formatCode>
                <c:ptCount val="21"/>
                <c:pt idx="0">
                  <c:v>1</c:v>
                </c:pt>
                <c:pt idx="1">
                  <c:v>0.99418604651162779</c:v>
                </c:pt>
                <c:pt idx="2">
                  <c:v>0.98780487804878048</c:v>
                </c:pt>
                <c:pt idx="3">
                  <c:v>0.98076923076923073</c:v>
                </c:pt>
                <c:pt idx="4">
                  <c:v>0.97297297297297292</c:v>
                </c:pt>
                <c:pt idx="5">
                  <c:v>0.9642857142857143</c:v>
                </c:pt>
                <c:pt idx="6">
                  <c:v>0.95454545454545447</c:v>
                </c:pt>
                <c:pt idx="7">
                  <c:v>0.94354838709677413</c:v>
                </c:pt>
                <c:pt idx="8">
                  <c:v>0.93103448275862055</c:v>
                </c:pt>
                <c:pt idx="9">
                  <c:v>0.91666666666666663</c:v>
                </c:pt>
                <c:pt idx="10">
                  <c:v>0.89999999999999991</c:v>
                </c:pt>
                <c:pt idx="11">
                  <c:v>0.88043478260869545</c:v>
                </c:pt>
                <c:pt idx="12">
                  <c:v>0.85714285714285687</c:v>
                </c:pt>
                <c:pt idx="13">
                  <c:v>0.82894736842105243</c:v>
                </c:pt>
                <c:pt idx="14">
                  <c:v>0.79411764705882326</c:v>
                </c:pt>
                <c:pt idx="15">
                  <c:v>0.74999999999999967</c:v>
                </c:pt>
                <c:pt idx="16">
                  <c:v>0.69363496932515345</c:v>
                </c:pt>
                <c:pt idx="17">
                  <c:v>0.61548913043478271</c:v>
                </c:pt>
                <c:pt idx="18">
                  <c:v>0.50276548672566368</c:v>
                </c:pt>
                <c:pt idx="19">
                  <c:v>0.32599431818181829</c:v>
                </c:pt>
                <c:pt idx="20">
                  <c:v>8.9285714285715599E-3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F7-459F-B6D6-31AD35A188B9}"/>
            </c:ext>
          </c:extLst>
        </c:ser>
        <c:ser>
          <c:idx val="1"/>
          <c:order val="1"/>
          <c:tx>
            <c:strRef>
              <c:f>'ForageMode (2)'!$D$98</c:f>
              <c:strCache>
                <c:ptCount val="1"/>
                <c:pt idx="0">
                  <c:v>predation effect on fitness</c:v>
                </c:pt>
              </c:strCache>
            </c:strRef>
          </c:tx>
          <c:spPr>
            <a:ln w="317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'ForageMode (2)'!$B$99:$B$119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(2)'!$D$99:$D$119</c:f>
              <c:numCache>
                <c:formatCode>General</c:formatCode>
                <c:ptCount val="21"/>
                <c:pt idx="0">
                  <c:v>0.89999999999999991</c:v>
                </c:pt>
                <c:pt idx="1">
                  <c:v>0.85677447440968946</c:v>
                </c:pt>
                <c:pt idx="2">
                  <c:v>0.81364564201452616</c:v>
                </c:pt>
                <c:pt idx="3">
                  <c:v>0.77062973749245622</c:v>
                </c:pt>
                <c:pt idx="4">
                  <c:v>0.72774678605637566</c:v>
                </c:pt>
                <c:pt idx="5">
                  <c:v>0.68502175709411406</c:v>
                </c:pt>
                <c:pt idx="6">
                  <c:v>0.6424861566901352</c:v>
                </c:pt>
                <c:pt idx="7">
                  <c:v>0.60018026138306624</c:v>
                </c:pt>
                <c:pt idx="8">
                  <c:v>0.5581563056514377</c:v>
                </c:pt>
                <c:pt idx="9">
                  <c:v>0.5164831146245803</c:v>
                </c:pt>
                <c:pt idx="10">
                  <c:v>0.47525296907582198</c:v>
                </c:pt>
                <c:pt idx="11">
                  <c:v>0.43459198371310531</c:v>
                </c:pt>
                <c:pt idx="12">
                  <c:v>0.39467610868816283</c:v>
                </c:pt>
                <c:pt idx="13">
                  <c:v>0.35575623676894236</c:v>
                </c:pt>
                <c:pt idx="14">
                  <c:v>0.31819805153394609</c:v>
                </c:pt>
                <c:pt idx="15">
                  <c:v>0.2825450951073662</c:v>
                </c:pt>
                <c:pt idx="16">
                  <c:v>0.25023990412279296</c:v>
                </c:pt>
                <c:pt idx="17">
                  <c:v>0.22116129251677905</c:v>
                </c:pt>
                <c:pt idx="18">
                  <c:v>0.19773430599982081</c:v>
                </c:pt>
                <c:pt idx="19">
                  <c:v>0.18215275183208185</c:v>
                </c:pt>
                <c:pt idx="20">
                  <c:v>0.17650672791709668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F7-459F-B6D6-31AD35A188B9}"/>
            </c:ext>
          </c:extLst>
        </c:ser>
        <c:ser>
          <c:idx val="2"/>
          <c:order val="2"/>
          <c:tx>
            <c:strRef>
              <c:f>'ForageMode (2)'!$E$98</c:f>
              <c:strCache>
                <c:ptCount val="1"/>
                <c:pt idx="0">
                  <c:v>fitness-w/pred</c:v>
                </c:pt>
              </c:strCache>
            </c:strRef>
          </c:tx>
          <c:spPr>
            <a:ln w="31750">
              <a:solidFill>
                <a:srgbClr val="009A46"/>
              </a:solidFill>
              <a:prstDash val="solid"/>
            </a:ln>
          </c:spPr>
          <c:marker>
            <c:symbol val="none"/>
          </c:marker>
          <c:xVal>
            <c:numRef>
              <c:f>'ForageMode (2)'!$B$99:$B$119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(2)'!$E$99:$E$119</c:f>
              <c:numCache>
                <c:formatCode>General</c:formatCode>
                <c:ptCount val="21"/>
                <c:pt idx="0">
                  <c:v>0.10000000000000009</c:v>
                </c:pt>
                <c:pt idx="1">
                  <c:v>0.13741157210193833</c:v>
                </c:pt>
                <c:pt idx="2">
                  <c:v>0.17415923603425432</c:v>
                </c:pt>
                <c:pt idx="3">
                  <c:v>0.2101394932767745</c:v>
                </c:pt>
                <c:pt idx="4">
                  <c:v>0.24522618691659726</c:v>
                </c:pt>
                <c:pt idx="5">
                  <c:v>0.27926395719160024</c:v>
                </c:pt>
                <c:pt idx="6">
                  <c:v>0.31205929785531927</c:v>
                </c:pt>
                <c:pt idx="7">
                  <c:v>0.34336812571370789</c:v>
                </c:pt>
                <c:pt idx="8">
                  <c:v>0.37287817710718285</c:v>
                </c:pt>
                <c:pt idx="9">
                  <c:v>0.40018355204208633</c:v>
                </c:pt>
                <c:pt idx="10">
                  <c:v>0.42474703092417793</c:v>
                </c:pt>
                <c:pt idx="11">
                  <c:v>0.44584279889559014</c:v>
                </c:pt>
                <c:pt idx="12">
                  <c:v>0.46246674845469404</c:v>
                </c:pt>
                <c:pt idx="13">
                  <c:v>0.47319113165211008</c:v>
                </c:pt>
                <c:pt idx="14">
                  <c:v>0.47591959552487717</c:v>
                </c:pt>
                <c:pt idx="15">
                  <c:v>0.46745490489263347</c:v>
                </c:pt>
                <c:pt idx="16">
                  <c:v>0.44339506520236049</c:v>
                </c:pt>
                <c:pt idx="17">
                  <c:v>0.39432783791800363</c:v>
                </c:pt>
                <c:pt idx="18">
                  <c:v>0.3050311807258429</c:v>
                </c:pt>
                <c:pt idx="19">
                  <c:v>0.14384156634973644</c:v>
                </c:pt>
                <c:pt idx="20">
                  <c:v>-0.16757815648852512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F7-459F-B6D6-31AD35A18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84576"/>
        <c:axId val="1"/>
      </c:scatterChart>
      <c:valAx>
        <c:axId val="530984576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530984576"/>
        <c:crossesAt val="1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650000642476408E-2"/>
          <c:y val="6.0483930510421766E-2"/>
          <c:w val="0.85354834132145674"/>
          <c:h val="0.840726634094862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'ForageMode (2)'!$C$98</c:f>
              <c:strCache>
                <c:ptCount val="1"/>
                <c:pt idx="0">
                  <c:v>fitness-w/o P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'ForageMode (2)'!$B$99:$B$119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(2)'!$C$99:$C$119</c:f>
              <c:numCache>
                <c:formatCode>General</c:formatCode>
                <c:ptCount val="21"/>
                <c:pt idx="0">
                  <c:v>1</c:v>
                </c:pt>
                <c:pt idx="1">
                  <c:v>0.99418604651162779</c:v>
                </c:pt>
                <c:pt idx="2">
                  <c:v>0.98780487804878048</c:v>
                </c:pt>
                <c:pt idx="3">
                  <c:v>0.98076923076923073</c:v>
                </c:pt>
                <c:pt idx="4">
                  <c:v>0.97297297297297292</c:v>
                </c:pt>
                <c:pt idx="5">
                  <c:v>0.9642857142857143</c:v>
                </c:pt>
                <c:pt idx="6">
                  <c:v>0.95454545454545447</c:v>
                </c:pt>
                <c:pt idx="7">
                  <c:v>0.94354838709677413</c:v>
                </c:pt>
                <c:pt idx="8">
                  <c:v>0.93103448275862055</c:v>
                </c:pt>
                <c:pt idx="9">
                  <c:v>0.91666666666666663</c:v>
                </c:pt>
                <c:pt idx="10">
                  <c:v>0.89999999999999991</c:v>
                </c:pt>
                <c:pt idx="11">
                  <c:v>0.88043478260869545</c:v>
                </c:pt>
                <c:pt idx="12">
                  <c:v>0.85714285714285687</c:v>
                </c:pt>
                <c:pt idx="13">
                  <c:v>0.82894736842105243</c:v>
                </c:pt>
                <c:pt idx="14">
                  <c:v>0.79411764705882326</c:v>
                </c:pt>
                <c:pt idx="15">
                  <c:v>0.74999999999999967</c:v>
                </c:pt>
                <c:pt idx="16">
                  <c:v>0.69363496932515345</c:v>
                </c:pt>
                <c:pt idx="17">
                  <c:v>0.61548913043478271</c:v>
                </c:pt>
                <c:pt idx="18">
                  <c:v>0.50276548672566368</c:v>
                </c:pt>
                <c:pt idx="19">
                  <c:v>0.32599431818181829</c:v>
                </c:pt>
                <c:pt idx="20">
                  <c:v>8.9285714285715599E-3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F7-459F-B6D6-31AD35A188B9}"/>
            </c:ext>
          </c:extLst>
        </c:ser>
        <c:ser>
          <c:idx val="1"/>
          <c:order val="1"/>
          <c:tx>
            <c:strRef>
              <c:f>'ForageMode (2)'!$D$98</c:f>
              <c:strCache>
                <c:ptCount val="1"/>
                <c:pt idx="0">
                  <c:v>predation effect on fitness</c:v>
                </c:pt>
              </c:strCache>
            </c:strRef>
          </c:tx>
          <c:spPr>
            <a:ln w="317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'ForageMode (2)'!$B$99:$B$119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(2)'!$D$99:$D$119</c:f>
              <c:numCache>
                <c:formatCode>General</c:formatCode>
                <c:ptCount val="21"/>
                <c:pt idx="0">
                  <c:v>0.89999999999999991</c:v>
                </c:pt>
                <c:pt idx="1">
                  <c:v>0.85677447440968946</c:v>
                </c:pt>
                <c:pt idx="2">
                  <c:v>0.81364564201452616</c:v>
                </c:pt>
                <c:pt idx="3">
                  <c:v>0.77062973749245622</c:v>
                </c:pt>
                <c:pt idx="4">
                  <c:v>0.72774678605637566</c:v>
                </c:pt>
                <c:pt idx="5">
                  <c:v>0.68502175709411406</c:v>
                </c:pt>
                <c:pt idx="6">
                  <c:v>0.6424861566901352</c:v>
                </c:pt>
                <c:pt idx="7">
                  <c:v>0.60018026138306624</c:v>
                </c:pt>
                <c:pt idx="8">
                  <c:v>0.5581563056514377</c:v>
                </c:pt>
                <c:pt idx="9">
                  <c:v>0.5164831146245803</c:v>
                </c:pt>
                <c:pt idx="10">
                  <c:v>0.47525296907582198</c:v>
                </c:pt>
                <c:pt idx="11">
                  <c:v>0.43459198371310531</c:v>
                </c:pt>
                <c:pt idx="12">
                  <c:v>0.39467610868816283</c:v>
                </c:pt>
                <c:pt idx="13">
                  <c:v>0.35575623676894236</c:v>
                </c:pt>
                <c:pt idx="14">
                  <c:v>0.31819805153394609</c:v>
                </c:pt>
                <c:pt idx="15">
                  <c:v>0.2825450951073662</c:v>
                </c:pt>
                <c:pt idx="16">
                  <c:v>0.25023990412279296</c:v>
                </c:pt>
                <c:pt idx="17">
                  <c:v>0.22116129251677905</c:v>
                </c:pt>
                <c:pt idx="18">
                  <c:v>0.19773430599982081</c:v>
                </c:pt>
                <c:pt idx="19">
                  <c:v>0.18215275183208185</c:v>
                </c:pt>
                <c:pt idx="20">
                  <c:v>0.17650672791709668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F7-459F-B6D6-31AD35A188B9}"/>
            </c:ext>
          </c:extLst>
        </c:ser>
        <c:ser>
          <c:idx val="2"/>
          <c:order val="2"/>
          <c:tx>
            <c:strRef>
              <c:f>'ForageMode (2)'!$E$98</c:f>
              <c:strCache>
                <c:ptCount val="1"/>
                <c:pt idx="0">
                  <c:v>fitness-w/pred</c:v>
                </c:pt>
              </c:strCache>
            </c:strRef>
          </c:tx>
          <c:spPr>
            <a:ln w="31750">
              <a:solidFill>
                <a:srgbClr val="009A46"/>
              </a:solidFill>
              <a:prstDash val="solid"/>
            </a:ln>
          </c:spPr>
          <c:marker>
            <c:symbol val="none"/>
          </c:marker>
          <c:xVal>
            <c:numRef>
              <c:f>'ForageMode (2)'!$B$99:$B$119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(2)'!$E$99:$E$119</c:f>
              <c:numCache>
                <c:formatCode>General</c:formatCode>
                <c:ptCount val="21"/>
                <c:pt idx="0">
                  <c:v>0.10000000000000009</c:v>
                </c:pt>
                <c:pt idx="1">
                  <c:v>0.13741157210193833</c:v>
                </c:pt>
                <c:pt idx="2">
                  <c:v>0.17415923603425432</c:v>
                </c:pt>
                <c:pt idx="3">
                  <c:v>0.2101394932767745</c:v>
                </c:pt>
                <c:pt idx="4">
                  <c:v>0.24522618691659726</c:v>
                </c:pt>
                <c:pt idx="5">
                  <c:v>0.27926395719160024</c:v>
                </c:pt>
                <c:pt idx="6">
                  <c:v>0.31205929785531927</c:v>
                </c:pt>
                <c:pt idx="7">
                  <c:v>0.34336812571370789</c:v>
                </c:pt>
                <c:pt idx="8">
                  <c:v>0.37287817710718285</c:v>
                </c:pt>
                <c:pt idx="9">
                  <c:v>0.40018355204208633</c:v>
                </c:pt>
                <c:pt idx="10">
                  <c:v>0.42474703092417793</c:v>
                </c:pt>
                <c:pt idx="11">
                  <c:v>0.44584279889559014</c:v>
                </c:pt>
                <c:pt idx="12">
                  <c:v>0.46246674845469404</c:v>
                </c:pt>
                <c:pt idx="13">
                  <c:v>0.47319113165211008</c:v>
                </c:pt>
                <c:pt idx="14">
                  <c:v>0.47591959552487717</c:v>
                </c:pt>
                <c:pt idx="15">
                  <c:v>0.46745490489263347</c:v>
                </c:pt>
                <c:pt idx="16">
                  <c:v>0.44339506520236049</c:v>
                </c:pt>
                <c:pt idx="17">
                  <c:v>0.39432783791800363</c:v>
                </c:pt>
                <c:pt idx="18">
                  <c:v>0.3050311807258429</c:v>
                </c:pt>
                <c:pt idx="19">
                  <c:v>0.14384156634973644</c:v>
                </c:pt>
                <c:pt idx="20">
                  <c:v>-0.16757815648852512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F7-459F-B6D6-31AD35A18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84576"/>
        <c:axId val="1"/>
      </c:scatterChart>
      <c:valAx>
        <c:axId val="530984576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530984576"/>
        <c:crossesAt val="1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116248329969584E-2"/>
          <c:y val="6.0483930510421766E-2"/>
          <c:w val="0.92576750334006086"/>
          <c:h val="0.8735624987239603"/>
        </c:manualLayout>
      </c:layout>
      <c:scatterChart>
        <c:scatterStyle val="lineMarker"/>
        <c:varyColors val="0"/>
        <c:ser>
          <c:idx val="0"/>
          <c:order val="0"/>
          <c:tx>
            <c:strRef>
              <c:f>'ForageMode (2)'!$C$98</c:f>
              <c:strCache>
                <c:ptCount val="1"/>
                <c:pt idx="0">
                  <c:v>fitness-w/o P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'ForageMode (2)'!$B$99:$B$119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(2)'!$C$99:$C$119</c:f>
              <c:numCache>
                <c:formatCode>General</c:formatCode>
                <c:ptCount val="21"/>
                <c:pt idx="0">
                  <c:v>1</c:v>
                </c:pt>
                <c:pt idx="1">
                  <c:v>0.99418604651162779</c:v>
                </c:pt>
                <c:pt idx="2">
                  <c:v>0.98780487804878048</c:v>
                </c:pt>
                <c:pt idx="3">
                  <c:v>0.98076923076923073</c:v>
                </c:pt>
                <c:pt idx="4">
                  <c:v>0.97297297297297292</c:v>
                </c:pt>
                <c:pt idx="5">
                  <c:v>0.9642857142857143</c:v>
                </c:pt>
                <c:pt idx="6">
                  <c:v>0.95454545454545447</c:v>
                </c:pt>
                <c:pt idx="7">
                  <c:v>0.94354838709677413</c:v>
                </c:pt>
                <c:pt idx="8">
                  <c:v>0.93103448275862055</c:v>
                </c:pt>
                <c:pt idx="9">
                  <c:v>0.91666666666666663</c:v>
                </c:pt>
                <c:pt idx="10">
                  <c:v>0.89999999999999991</c:v>
                </c:pt>
                <c:pt idx="11">
                  <c:v>0.88043478260869545</c:v>
                </c:pt>
                <c:pt idx="12">
                  <c:v>0.85714285714285687</c:v>
                </c:pt>
                <c:pt idx="13">
                  <c:v>0.82894736842105243</c:v>
                </c:pt>
                <c:pt idx="14">
                  <c:v>0.79411764705882326</c:v>
                </c:pt>
                <c:pt idx="15">
                  <c:v>0.74999999999999967</c:v>
                </c:pt>
                <c:pt idx="16">
                  <c:v>0.69363496932515345</c:v>
                </c:pt>
                <c:pt idx="17">
                  <c:v>0.61548913043478271</c:v>
                </c:pt>
                <c:pt idx="18">
                  <c:v>0.50276548672566368</c:v>
                </c:pt>
                <c:pt idx="19">
                  <c:v>0.32599431818181829</c:v>
                </c:pt>
                <c:pt idx="20">
                  <c:v>8.9285714285715599E-3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36-4FF7-89DC-E3BF578F24B6}"/>
            </c:ext>
          </c:extLst>
        </c:ser>
        <c:ser>
          <c:idx val="1"/>
          <c:order val="1"/>
          <c:tx>
            <c:strRef>
              <c:f>'ForageMode (2)'!$D$98</c:f>
              <c:strCache>
                <c:ptCount val="1"/>
                <c:pt idx="0">
                  <c:v>predation effect on fitness</c:v>
                </c:pt>
              </c:strCache>
            </c:strRef>
          </c:tx>
          <c:spPr>
            <a:ln w="317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'ForageMode (2)'!$B$99:$B$119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(2)'!$D$99:$D$119</c:f>
              <c:numCache>
                <c:formatCode>General</c:formatCode>
                <c:ptCount val="21"/>
                <c:pt idx="0">
                  <c:v>0.89999999999999991</c:v>
                </c:pt>
                <c:pt idx="1">
                  <c:v>0.85677447440968946</c:v>
                </c:pt>
                <c:pt idx="2">
                  <c:v>0.81364564201452616</c:v>
                </c:pt>
                <c:pt idx="3">
                  <c:v>0.77062973749245622</c:v>
                </c:pt>
                <c:pt idx="4">
                  <c:v>0.72774678605637566</c:v>
                </c:pt>
                <c:pt idx="5">
                  <c:v>0.68502175709411406</c:v>
                </c:pt>
                <c:pt idx="6">
                  <c:v>0.6424861566901352</c:v>
                </c:pt>
                <c:pt idx="7">
                  <c:v>0.60018026138306624</c:v>
                </c:pt>
                <c:pt idx="8">
                  <c:v>0.5581563056514377</c:v>
                </c:pt>
                <c:pt idx="9">
                  <c:v>0.5164831146245803</c:v>
                </c:pt>
                <c:pt idx="10">
                  <c:v>0.47525296907582198</c:v>
                </c:pt>
                <c:pt idx="11">
                  <c:v>0.43459198371310531</c:v>
                </c:pt>
                <c:pt idx="12">
                  <c:v>0.39467610868816283</c:v>
                </c:pt>
                <c:pt idx="13">
                  <c:v>0.35575623676894236</c:v>
                </c:pt>
                <c:pt idx="14">
                  <c:v>0.31819805153394609</c:v>
                </c:pt>
                <c:pt idx="15">
                  <c:v>0.2825450951073662</c:v>
                </c:pt>
                <c:pt idx="16">
                  <c:v>0.25023990412279296</c:v>
                </c:pt>
                <c:pt idx="17">
                  <c:v>0.22116129251677905</c:v>
                </c:pt>
                <c:pt idx="18">
                  <c:v>0.19773430599982081</c:v>
                </c:pt>
                <c:pt idx="19">
                  <c:v>0.18215275183208185</c:v>
                </c:pt>
                <c:pt idx="20">
                  <c:v>0.17650672791709668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36-4FF7-89DC-E3BF578F2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84576"/>
        <c:axId val="1"/>
      </c:scatterChart>
      <c:valAx>
        <c:axId val="530984576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530984576"/>
        <c:crossesAt val="1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650000642476408E-2"/>
          <c:y val="6.0483930510421766E-2"/>
          <c:w val="0.85354834132145674"/>
          <c:h val="0.840726634094862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'ForageMode (2)'!$AE$98</c:f>
              <c:strCache>
                <c:ptCount val="1"/>
                <c:pt idx="0">
                  <c:v>fitness-w/o P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'ForageMode (2)'!$AD$99:$AD$119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(2)'!$AE$99:$AE$119</c:f>
              <c:numCache>
                <c:formatCode>General</c:formatCode>
                <c:ptCount val="21"/>
                <c:pt idx="0">
                  <c:v>1</c:v>
                </c:pt>
                <c:pt idx="1">
                  <c:v>0.97435897435897434</c:v>
                </c:pt>
                <c:pt idx="2">
                  <c:v>0.94736842105263153</c:v>
                </c:pt>
                <c:pt idx="3">
                  <c:v>0.91891891891891886</c:v>
                </c:pt>
                <c:pt idx="4">
                  <c:v>0.88888888888888873</c:v>
                </c:pt>
                <c:pt idx="5">
                  <c:v>0.85714285714285698</c:v>
                </c:pt>
                <c:pt idx="6">
                  <c:v>0.82352941176470573</c:v>
                </c:pt>
                <c:pt idx="7">
                  <c:v>0.78787878787878762</c:v>
                </c:pt>
                <c:pt idx="8">
                  <c:v>0.74999999999999967</c:v>
                </c:pt>
                <c:pt idx="9">
                  <c:v>0.70967741935483841</c:v>
                </c:pt>
                <c:pt idx="10">
                  <c:v>0.6666666666666663</c:v>
                </c:pt>
                <c:pt idx="11">
                  <c:v>0.62068965517241337</c:v>
                </c:pt>
                <c:pt idx="12">
                  <c:v>0.57142857142857106</c:v>
                </c:pt>
                <c:pt idx="13">
                  <c:v>0.51851851851851816</c:v>
                </c:pt>
                <c:pt idx="14">
                  <c:v>0.46153846153846118</c:v>
                </c:pt>
                <c:pt idx="15">
                  <c:v>0.39999999999999963</c:v>
                </c:pt>
                <c:pt idx="16">
                  <c:v>0.3347210657785179</c:v>
                </c:pt>
                <c:pt idx="17">
                  <c:v>0.26238053866203304</c:v>
                </c:pt>
                <c:pt idx="18">
                  <c:v>0.18346957311534973</c:v>
                </c:pt>
                <c:pt idx="19">
                  <c:v>9.7050428163653696E-2</c:v>
                </c:pt>
                <c:pt idx="20">
                  <c:v>1.9980019980020275E-3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F7-459F-B6D6-31AD35A188B9}"/>
            </c:ext>
          </c:extLst>
        </c:ser>
        <c:ser>
          <c:idx val="1"/>
          <c:order val="1"/>
          <c:tx>
            <c:strRef>
              <c:f>'ForageMode (2)'!$AF$98</c:f>
              <c:strCache>
                <c:ptCount val="1"/>
                <c:pt idx="0">
                  <c:v>predation effect on fitness</c:v>
                </c:pt>
              </c:strCache>
            </c:strRef>
          </c:tx>
          <c:spPr>
            <a:ln w="317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'ForageMode (2)'!$AD$99:$AD$119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(2)'!$AF$99:$AF$119</c:f>
              <c:numCache>
                <c:formatCode>General</c:formatCode>
                <c:ptCount val="21"/>
                <c:pt idx="0">
                  <c:v>0.32449961479175904</c:v>
                </c:pt>
                <c:pt idx="1">
                  <c:v>0.30891442989928453</c:v>
                </c:pt>
                <c:pt idx="2">
                  <c:v>0.29336410823411913</c:v>
                </c:pt>
                <c:pt idx="3">
                  <c:v>0.2778545032926405</c:v>
                </c:pt>
                <c:pt idx="4">
                  <c:v>0.26239283526803847</c:v>
                </c:pt>
                <c:pt idx="5">
                  <c:v>0.24698810700112661</c:v>
                </c:pt>
                <c:pt idx="6">
                  <c:v>0.23165167817220736</c:v>
                </c:pt>
                <c:pt idx="7">
                  <c:v>0.21639807069380254</c:v>
                </c:pt>
                <c:pt idx="8">
                  <c:v>0.20124611797498096</c:v>
                </c:pt>
                <c:pt idx="9">
                  <c:v>0.18622063526902694</c:v>
                </c:pt>
                <c:pt idx="10">
                  <c:v>0.17135489488193781</c:v>
                </c:pt>
                <c:pt idx="11">
                  <c:v>0.15669436811832121</c:v>
                </c:pt>
                <c:pt idx="12">
                  <c:v>0.14230249470757697</c:v>
                </c:pt>
                <c:pt idx="13">
                  <c:v>0.12826973532365293</c:v>
                </c:pt>
                <c:pt idx="14">
                  <c:v>0.11472793905583756</c:v>
                </c:pt>
                <c:pt idx="15">
                  <c:v>0.10187308280404585</c:v>
                </c:pt>
                <c:pt idx="16">
                  <c:v>9.022528054819226E-2</c:v>
                </c:pt>
                <c:pt idx="17">
                  <c:v>7.9740838031713723E-2</c:v>
                </c:pt>
                <c:pt idx="18">
                  <c:v>7.1294117920064071E-2</c:v>
                </c:pt>
                <c:pt idx="19">
                  <c:v>6.5676108669743827E-2</c:v>
                </c:pt>
                <c:pt idx="20">
                  <c:v>6.3640405796946325E-2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F7-459F-B6D6-31AD35A188B9}"/>
            </c:ext>
          </c:extLst>
        </c:ser>
        <c:ser>
          <c:idx val="2"/>
          <c:order val="2"/>
          <c:tx>
            <c:strRef>
              <c:f>'ForageMode (2)'!$AG$98</c:f>
              <c:strCache>
                <c:ptCount val="1"/>
                <c:pt idx="0">
                  <c:v>fitness-w/pred</c:v>
                </c:pt>
              </c:strCache>
            </c:strRef>
          </c:tx>
          <c:spPr>
            <a:ln w="31750">
              <a:solidFill>
                <a:srgbClr val="009A46"/>
              </a:solidFill>
              <a:prstDash val="solid"/>
            </a:ln>
          </c:spPr>
          <c:marker>
            <c:symbol val="none"/>
          </c:marker>
          <c:xVal>
            <c:numRef>
              <c:f>'ForageMode (2)'!$AD$99:$AD$119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(2)'!$AG$99:$AG$119</c:f>
              <c:numCache>
                <c:formatCode>General</c:formatCode>
                <c:ptCount val="21"/>
                <c:pt idx="0">
                  <c:v>0.67550038520824096</c:v>
                </c:pt>
                <c:pt idx="1">
                  <c:v>0.66544454445968981</c:v>
                </c:pt>
                <c:pt idx="2">
                  <c:v>0.65400431281851246</c:v>
                </c:pt>
                <c:pt idx="3">
                  <c:v>0.64106441562627836</c:v>
                </c:pt>
                <c:pt idx="4">
                  <c:v>0.62649605362085026</c:v>
                </c:pt>
                <c:pt idx="5">
                  <c:v>0.61015475014173037</c:v>
                </c:pt>
                <c:pt idx="6">
                  <c:v>0.5918777335924984</c:v>
                </c:pt>
                <c:pt idx="7">
                  <c:v>0.57148071718498505</c:v>
                </c:pt>
                <c:pt idx="8">
                  <c:v>0.54875388202501874</c:v>
                </c:pt>
                <c:pt idx="9">
                  <c:v>0.52345678408581153</c:v>
                </c:pt>
                <c:pt idx="10">
                  <c:v>0.49531177178472852</c:v>
                </c:pt>
                <c:pt idx="11">
                  <c:v>0.46399528705409215</c:v>
                </c:pt>
                <c:pt idx="12">
                  <c:v>0.42912607672099412</c:v>
                </c:pt>
                <c:pt idx="13">
                  <c:v>0.39024878319486522</c:v>
                </c:pt>
                <c:pt idx="14">
                  <c:v>0.34681052248262362</c:v>
                </c:pt>
                <c:pt idx="15">
                  <c:v>0.2981269171959538</c:v>
                </c:pt>
                <c:pt idx="16">
                  <c:v>0.24449578523032564</c:v>
                </c:pt>
                <c:pt idx="17">
                  <c:v>0.18263970063031931</c:v>
                </c:pt>
                <c:pt idx="18">
                  <c:v>0.11217545519528566</c:v>
                </c:pt>
                <c:pt idx="19">
                  <c:v>3.1374319493909869E-2</c:v>
                </c:pt>
                <c:pt idx="20">
                  <c:v>-6.1642403798944298E-2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F7-459F-B6D6-31AD35A18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84576"/>
        <c:axId val="1"/>
      </c:scatterChart>
      <c:valAx>
        <c:axId val="530984576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530984576"/>
        <c:crossesAt val="1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9624705079735066E-2"/>
          <c:y val="6.0483930510421766E-2"/>
          <c:w val="0.90325904659029532"/>
          <c:h val="0.8735624987239603"/>
        </c:manualLayout>
      </c:layout>
      <c:scatterChart>
        <c:scatterStyle val="lineMarker"/>
        <c:varyColors val="0"/>
        <c:ser>
          <c:idx val="0"/>
          <c:order val="0"/>
          <c:tx>
            <c:strRef>
              <c:f>'ForageMode (2)'!$AE$98</c:f>
              <c:strCache>
                <c:ptCount val="1"/>
                <c:pt idx="0">
                  <c:v>fitness-w/o P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'ForageMode (2)'!$AD$99:$AD$119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(2)'!$AE$99:$AE$119</c:f>
              <c:numCache>
                <c:formatCode>General</c:formatCode>
                <c:ptCount val="21"/>
                <c:pt idx="0">
                  <c:v>1</c:v>
                </c:pt>
                <c:pt idx="1">
                  <c:v>0.97435897435897434</c:v>
                </c:pt>
                <c:pt idx="2">
                  <c:v>0.94736842105263153</c:v>
                </c:pt>
                <c:pt idx="3">
                  <c:v>0.91891891891891886</c:v>
                </c:pt>
                <c:pt idx="4">
                  <c:v>0.88888888888888873</c:v>
                </c:pt>
                <c:pt idx="5">
                  <c:v>0.85714285714285698</c:v>
                </c:pt>
                <c:pt idx="6">
                  <c:v>0.82352941176470573</c:v>
                </c:pt>
                <c:pt idx="7">
                  <c:v>0.78787878787878762</c:v>
                </c:pt>
                <c:pt idx="8">
                  <c:v>0.74999999999999967</c:v>
                </c:pt>
                <c:pt idx="9">
                  <c:v>0.70967741935483841</c:v>
                </c:pt>
                <c:pt idx="10">
                  <c:v>0.6666666666666663</c:v>
                </c:pt>
                <c:pt idx="11">
                  <c:v>0.62068965517241337</c:v>
                </c:pt>
                <c:pt idx="12">
                  <c:v>0.57142857142857106</c:v>
                </c:pt>
                <c:pt idx="13">
                  <c:v>0.51851851851851816</c:v>
                </c:pt>
                <c:pt idx="14">
                  <c:v>0.46153846153846118</c:v>
                </c:pt>
                <c:pt idx="15">
                  <c:v>0.39999999999999963</c:v>
                </c:pt>
                <c:pt idx="16">
                  <c:v>0.3347210657785179</c:v>
                </c:pt>
                <c:pt idx="17">
                  <c:v>0.26238053866203304</c:v>
                </c:pt>
                <c:pt idx="18">
                  <c:v>0.18346957311534973</c:v>
                </c:pt>
                <c:pt idx="19">
                  <c:v>9.7050428163653696E-2</c:v>
                </c:pt>
                <c:pt idx="20">
                  <c:v>1.9980019980020275E-3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F7-459F-B6D6-31AD35A188B9}"/>
            </c:ext>
          </c:extLst>
        </c:ser>
        <c:ser>
          <c:idx val="1"/>
          <c:order val="1"/>
          <c:tx>
            <c:strRef>
              <c:f>'ForageMode (2)'!$AF$98</c:f>
              <c:strCache>
                <c:ptCount val="1"/>
                <c:pt idx="0">
                  <c:v>predation effect on fitness</c:v>
                </c:pt>
              </c:strCache>
            </c:strRef>
          </c:tx>
          <c:spPr>
            <a:ln w="317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'ForageMode (2)'!$AD$99:$AD$119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(2)'!$AF$99:$AF$119</c:f>
              <c:numCache>
                <c:formatCode>General</c:formatCode>
                <c:ptCount val="21"/>
                <c:pt idx="0">
                  <c:v>0.32449961479175904</c:v>
                </c:pt>
                <c:pt idx="1">
                  <c:v>0.30891442989928453</c:v>
                </c:pt>
                <c:pt idx="2">
                  <c:v>0.29336410823411913</c:v>
                </c:pt>
                <c:pt idx="3">
                  <c:v>0.2778545032926405</c:v>
                </c:pt>
                <c:pt idx="4">
                  <c:v>0.26239283526803847</c:v>
                </c:pt>
                <c:pt idx="5">
                  <c:v>0.24698810700112661</c:v>
                </c:pt>
                <c:pt idx="6">
                  <c:v>0.23165167817220736</c:v>
                </c:pt>
                <c:pt idx="7">
                  <c:v>0.21639807069380254</c:v>
                </c:pt>
                <c:pt idx="8">
                  <c:v>0.20124611797498096</c:v>
                </c:pt>
                <c:pt idx="9">
                  <c:v>0.18622063526902694</c:v>
                </c:pt>
                <c:pt idx="10">
                  <c:v>0.17135489488193781</c:v>
                </c:pt>
                <c:pt idx="11">
                  <c:v>0.15669436811832121</c:v>
                </c:pt>
                <c:pt idx="12">
                  <c:v>0.14230249470757697</c:v>
                </c:pt>
                <c:pt idx="13">
                  <c:v>0.12826973532365293</c:v>
                </c:pt>
                <c:pt idx="14">
                  <c:v>0.11472793905583756</c:v>
                </c:pt>
                <c:pt idx="15">
                  <c:v>0.10187308280404585</c:v>
                </c:pt>
                <c:pt idx="16">
                  <c:v>9.022528054819226E-2</c:v>
                </c:pt>
                <c:pt idx="17">
                  <c:v>7.9740838031713723E-2</c:v>
                </c:pt>
                <c:pt idx="18">
                  <c:v>7.1294117920064071E-2</c:v>
                </c:pt>
                <c:pt idx="19">
                  <c:v>6.5676108669743827E-2</c:v>
                </c:pt>
                <c:pt idx="20">
                  <c:v>6.3640405796946325E-2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F7-459F-B6D6-31AD35A18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84576"/>
        <c:axId val="1"/>
      </c:scatterChart>
      <c:valAx>
        <c:axId val="530984576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530984576"/>
        <c:crossesAt val="1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116248329969584E-2"/>
          <c:y val="2.1013703703703705E-2"/>
          <c:w val="0.92576750334006086"/>
          <c:h val="0.90720000000000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'ForageMode (2)'!$Q$98</c:f>
              <c:strCache>
                <c:ptCount val="1"/>
                <c:pt idx="0">
                  <c:v>fitness-w/o P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'ForageMode (2)'!$P$99:$P$119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(2)'!$Q$99:$Q$119</c:f>
              <c:numCache>
                <c:formatCode>General</c:formatCode>
                <c:ptCount val="21"/>
                <c:pt idx="0">
                  <c:v>1</c:v>
                </c:pt>
                <c:pt idx="1">
                  <c:v>0.99418604651162779</c:v>
                </c:pt>
                <c:pt idx="2">
                  <c:v>0.98780487804878048</c:v>
                </c:pt>
                <c:pt idx="3">
                  <c:v>0.98076923076923073</c:v>
                </c:pt>
                <c:pt idx="4">
                  <c:v>0.97297297297297292</c:v>
                </c:pt>
                <c:pt idx="5">
                  <c:v>0.9642857142857143</c:v>
                </c:pt>
                <c:pt idx="6">
                  <c:v>0.95454545454545447</c:v>
                </c:pt>
                <c:pt idx="7">
                  <c:v>0.94354838709677413</c:v>
                </c:pt>
                <c:pt idx="8">
                  <c:v>0.93103448275862055</c:v>
                </c:pt>
                <c:pt idx="9">
                  <c:v>0.91666666666666663</c:v>
                </c:pt>
                <c:pt idx="10">
                  <c:v>0.89999999999999991</c:v>
                </c:pt>
                <c:pt idx="11">
                  <c:v>0.88043478260869545</c:v>
                </c:pt>
                <c:pt idx="12">
                  <c:v>0.85714285714285687</c:v>
                </c:pt>
                <c:pt idx="13">
                  <c:v>0.82894736842105243</c:v>
                </c:pt>
                <c:pt idx="14">
                  <c:v>0.79411764705882326</c:v>
                </c:pt>
                <c:pt idx="15">
                  <c:v>0.74999999999999967</c:v>
                </c:pt>
                <c:pt idx="16">
                  <c:v>0.69363496932515345</c:v>
                </c:pt>
                <c:pt idx="17">
                  <c:v>0.61548913043478271</c:v>
                </c:pt>
                <c:pt idx="18">
                  <c:v>0.50276548672566368</c:v>
                </c:pt>
                <c:pt idx="19">
                  <c:v>0.32599431818181829</c:v>
                </c:pt>
                <c:pt idx="20">
                  <c:v>8.9285714285715599E-3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F7-459F-B6D6-31AD35A188B9}"/>
            </c:ext>
          </c:extLst>
        </c:ser>
        <c:ser>
          <c:idx val="1"/>
          <c:order val="1"/>
          <c:tx>
            <c:strRef>
              <c:f>'ForageMode (2)'!$R$98</c:f>
              <c:strCache>
                <c:ptCount val="1"/>
                <c:pt idx="0">
                  <c:v>predation effect on fitness</c:v>
                </c:pt>
              </c:strCache>
            </c:strRef>
          </c:tx>
          <c:spPr>
            <a:ln w="317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'ForageMode (2)'!$P$99:$P$119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(2)'!$R$99:$R$119</c:f>
              <c:numCache>
                <c:formatCode>General</c:formatCode>
                <c:ptCount val="21"/>
                <c:pt idx="0">
                  <c:v>0.9</c:v>
                </c:pt>
                <c:pt idx="1">
                  <c:v>0.87778841414090203</c:v>
                </c:pt>
                <c:pt idx="2">
                  <c:v>0.85618339156982004</c:v>
                </c:pt>
                <c:pt idx="3">
                  <c:v>0.83523200369717621</c:v>
                </c:pt>
                <c:pt idx="4">
                  <c:v>0.81498466243236733</c:v>
                </c:pt>
                <c:pt idx="5">
                  <c:v>0.79549512883486573</c:v>
                </c:pt>
                <c:pt idx="6">
                  <c:v>0.77682044257344296</c:v>
                </c:pt>
                <c:pt idx="7">
                  <c:v>0.75902075070448483</c:v>
                </c:pt>
                <c:pt idx="8">
                  <c:v>0.74215901261117889</c:v>
                </c:pt>
                <c:pt idx="9">
                  <c:v>0.72630055762060364</c:v>
                </c:pt>
                <c:pt idx="10">
                  <c:v>0.71151247353788527</c:v>
                </c:pt>
                <c:pt idx="11">
                  <c:v>0.69786280886718688</c:v>
                </c:pt>
                <c:pt idx="12">
                  <c:v>0.68541957952775168</c:v>
                </c:pt>
                <c:pt idx="13">
                  <c:v>0.67424958286972625</c:v>
                </c:pt>
                <c:pt idx="14">
                  <c:v>0.66441703771050287</c:v>
                </c:pt>
                <c:pt idx="15">
                  <c:v>0.65598208817009618</c:v>
                </c:pt>
                <c:pt idx="16">
                  <c:v>0.64912433708804962</c:v>
                </c:pt>
                <c:pt idx="17">
                  <c:v>0.64361044506751142</c:v>
                </c:pt>
                <c:pt idx="18">
                  <c:v>0.63963380539180381</c:v>
                </c:pt>
                <c:pt idx="19">
                  <c:v>0.6372231987302408</c:v>
                </c:pt>
                <c:pt idx="20">
                  <c:v>0.63639642126586482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F7-459F-B6D6-31AD35A18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84576"/>
        <c:axId val="1"/>
      </c:scatterChart>
      <c:valAx>
        <c:axId val="530984576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530984576"/>
        <c:crossesAt val="1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97654233022106"/>
          <c:y val="8.7453186443901071E-2"/>
          <c:w val="0.85354834132145674"/>
          <c:h val="0.840726634094862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'ForageMode (2)'!$Q$98</c:f>
              <c:strCache>
                <c:ptCount val="1"/>
                <c:pt idx="0">
                  <c:v>fitness-w/o P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'ForageMode (2)'!$P$99:$P$119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(2)'!$Q$99:$Q$119</c:f>
              <c:numCache>
                <c:formatCode>General</c:formatCode>
                <c:ptCount val="21"/>
                <c:pt idx="0">
                  <c:v>1</c:v>
                </c:pt>
                <c:pt idx="1">
                  <c:v>0.99418604651162779</c:v>
                </c:pt>
                <c:pt idx="2">
                  <c:v>0.98780487804878048</c:v>
                </c:pt>
                <c:pt idx="3">
                  <c:v>0.98076923076923073</c:v>
                </c:pt>
                <c:pt idx="4">
                  <c:v>0.97297297297297292</c:v>
                </c:pt>
                <c:pt idx="5">
                  <c:v>0.9642857142857143</c:v>
                </c:pt>
                <c:pt idx="6">
                  <c:v>0.95454545454545447</c:v>
                </c:pt>
                <c:pt idx="7">
                  <c:v>0.94354838709677413</c:v>
                </c:pt>
                <c:pt idx="8">
                  <c:v>0.93103448275862055</c:v>
                </c:pt>
                <c:pt idx="9">
                  <c:v>0.91666666666666663</c:v>
                </c:pt>
                <c:pt idx="10">
                  <c:v>0.89999999999999991</c:v>
                </c:pt>
                <c:pt idx="11">
                  <c:v>0.88043478260869545</c:v>
                </c:pt>
                <c:pt idx="12">
                  <c:v>0.85714285714285687</c:v>
                </c:pt>
                <c:pt idx="13">
                  <c:v>0.82894736842105243</c:v>
                </c:pt>
                <c:pt idx="14">
                  <c:v>0.79411764705882326</c:v>
                </c:pt>
                <c:pt idx="15">
                  <c:v>0.74999999999999967</c:v>
                </c:pt>
                <c:pt idx="16">
                  <c:v>0.69363496932515345</c:v>
                </c:pt>
                <c:pt idx="17">
                  <c:v>0.61548913043478271</c:v>
                </c:pt>
                <c:pt idx="18">
                  <c:v>0.50276548672566368</c:v>
                </c:pt>
                <c:pt idx="19">
                  <c:v>0.32599431818181829</c:v>
                </c:pt>
                <c:pt idx="20">
                  <c:v>8.9285714285715599E-3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F7-459F-B6D6-31AD35A188B9}"/>
            </c:ext>
          </c:extLst>
        </c:ser>
        <c:ser>
          <c:idx val="1"/>
          <c:order val="1"/>
          <c:tx>
            <c:strRef>
              <c:f>'ForageMode (2)'!$R$98</c:f>
              <c:strCache>
                <c:ptCount val="1"/>
                <c:pt idx="0">
                  <c:v>predation effect on fitness</c:v>
                </c:pt>
              </c:strCache>
            </c:strRef>
          </c:tx>
          <c:spPr>
            <a:ln w="317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'ForageMode (2)'!$P$99:$P$119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(2)'!$R$99:$R$119</c:f>
              <c:numCache>
                <c:formatCode>General</c:formatCode>
                <c:ptCount val="21"/>
                <c:pt idx="0">
                  <c:v>0.9</c:v>
                </c:pt>
                <c:pt idx="1">
                  <c:v>0.87778841414090203</c:v>
                </c:pt>
                <c:pt idx="2">
                  <c:v>0.85618339156982004</c:v>
                </c:pt>
                <c:pt idx="3">
                  <c:v>0.83523200369717621</c:v>
                </c:pt>
                <c:pt idx="4">
                  <c:v>0.81498466243236733</c:v>
                </c:pt>
                <c:pt idx="5">
                  <c:v>0.79549512883486573</c:v>
                </c:pt>
                <c:pt idx="6">
                  <c:v>0.77682044257344296</c:v>
                </c:pt>
                <c:pt idx="7">
                  <c:v>0.75902075070448483</c:v>
                </c:pt>
                <c:pt idx="8">
                  <c:v>0.74215901261117889</c:v>
                </c:pt>
                <c:pt idx="9">
                  <c:v>0.72630055762060364</c:v>
                </c:pt>
                <c:pt idx="10">
                  <c:v>0.71151247353788527</c:v>
                </c:pt>
                <c:pt idx="11">
                  <c:v>0.69786280886718688</c:v>
                </c:pt>
                <c:pt idx="12">
                  <c:v>0.68541957952775168</c:v>
                </c:pt>
                <c:pt idx="13">
                  <c:v>0.67424958286972625</c:v>
                </c:pt>
                <c:pt idx="14">
                  <c:v>0.66441703771050287</c:v>
                </c:pt>
                <c:pt idx="15">
                  <c:v>0.65598208817009618</c:v>
                </c:pt>
                <c:pt idx="16">
                  <c:v>0.64912433708804962</c:v>
                </c:pt>
                <c:pt idx="17">
                  <c:v>0.64361044506751142</c:v>
                </c:pt>
                <c:pt idx="18">
                  <c:v>0.63963380539180381</c:v>
                </c:pt>
                <c:pt idx="19">
                  <c:v>0.6372231987302408</c:v>
                </c:pt>
                <c:pt idx="20">
                  <c:v>0.63639642126586482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F7-459F-B6D6-31AD35A188B9}"/>
            </c:ext>
          </c:extLst>
        </c:ser>
        <c:ser>
          <c:idx val="2"/>
          <c:order val="2"/>
          <c:tx>
            <c:strRef>
              <c:f>'ForageMode (2)'!$S$98</c:f>
              <c:strCache>
                <c:ptCount val="1"/>
                <c:pt idx="0">
                  <c:v>fitness-w/pred</c:v>
                </c:pt>
              </c:strCache>
            </c:strRef>
          </c:tx>
          <c:spPr>
            <a:ln w="31750">
              <a:solidFill>
                <a:srgbClr val="009A46"/>
              </a:solidFill>
              <a:prstDash val="solid"/>
            </a:ln>
          </c:spPr>
          <c:marker>
            <c:symbol val="none"/>
          </c:marker>
          <c:xVal>
            <c:numRef>
              <c:f>'ForageMode (2)'!$P$99:$P$119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(2)'!$S$99:$S$119</c:f>
              <c:numCache>
                <c:formatCode>General</c:formatCode>
                <c:ptCount val="21"/>
                <c:pt idx="0">
                  <c:v>9.9999999999999978E-2</c:v>
                </c:pt>
                <c:pt idx="1">
                  <c:v>0.11639763237072576</c:v>
                </c:pt>
                <c:pt idx="2">
                  <c:v>0.13162148647896044</c:v>
                </c:pt>
                <c:pt idx="3">
                  <c:v>0.14553722707205452</c:v>
                </c:pt>
                <c:pt idx="4">
                  <c:v>0.15798831054060558</c:v>
                </c:pt>
                <c:pt idx="5">
                  <c:v>0.16879058545084857</c:v>
                </c:pt>
                <c:pt idx="6">
                  <c:v>0.17772501197201152</c:v>
                </c:pt>
                <c:pt idx="7">
                  <c:v>0.18452763639228931</c:v>
                </c:pt>
                <c:pt idx="8">
                  <c:v>0.18887547014744166</c:v>
                </c:pt>
                <c:pt idx="9">
                  <c:v>0.19036610904606299</c:v>
                </c:pt>
                <c:pt idx="10">
                  <c:v>0.18848752646211464</c:v>
                </c:pt>
                <c:pt idx="11">
                  <c:v>0.18257197374150858</c:v>
                </c:pt>
                <c:pt idx="12">
                  <c:v>0.1717232776151052</c:v>
                </c:pt>
                <c:pt idx="13">
                  <c:v>0.15469778555132618</c:v>
                </c:pt>
                <c:pt idx="14">
                  <c:v>0.12970060934832039</c:v>
                </c:pt>
                <c:pt idx="15">
                  <c:v>9.4017911829903489E-2</c:v>
                </c:pt>
                <c:pt idx="16">
                  <c:v>4.4510632237103831E-2</c:v>
                </c:pt>
                <c:pt idx="17">
                  <c:v>-2.8121314632728711E-2</c:v>
                </c:pt>
                <c:pt idx="18">
                  <c:v>-0.13686831866614013</c:v>
                </c:pt>
                <c:pt idx="19">
                  <c:v>-0.31122888054842252</c:v>
                </c:pt>
                <c:pt idx="20">
                  <c:v>-0.62746784983729331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F7-459F-B6D6-31AD35A18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84576"/>
        <c:axId val="1"/>
      </c:scatterChart>
      <c:valAx>
        <c:axId val="530984576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530984576"/>
        <c:crossesAt val="1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650000642476408E-2"/>
          <c:y val="6.0483930510421766E-2"/>
          <c:w val="0.85354834132145674"/>
          <c:h val="0.840726634094862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'ForageMode (2)'!$AS$98</c:f>
              <c:strCache>
                <c:ptCount val="1"/>
                <c:pt idx="0">
                  <c:v>fitness-w/o P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'ForageMode (2)'!$AR$99:$AR$119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(2)'!$AS$99:$AS$119</c:f>
              <c:numCache>
                <c:formatCode>General</c:formatCode>
                <c:ptCount val="21"/>
                <c:pt idx="0">
                  <c:v>1</c:v>
                </c:pt>
                <c:pt idx="1">
                  <c:v>0.97435897435897434</c:v>
                </c:pt>
                <c:pt idx="2">
                  <c:v>0.94736842105263153</c:v>
                </c:pt>
                <c:pt idx="3">
                  <c:v>0.91891891891891886</c:v>
                </c:pt>
                <c:pt idx="4">
                  <c:v>0.88888888888888873</c:v>
                </c:pt>
                <c:pt idx="5">
                  <c:v>0.85714285714285698</c:v>
                </c:pt>
                <c:pt idx="6">
                  <c:v>0.82352941176470573</c:v>
                </c:pt>
                <c:pt idx="7">
                  <c:v>0.78787878787878762</c:v>
                </c:pt>
                <c:pt idx="8">
                  <c:v>0.74999999999999967</c:v>
                </c:pt>
                <c:pt idx="9">
                  <c:v>0.70967741935483841</c:v>
                </c:pt>
                <c:pt idx="10">
                  <c:v>0.6666666666666663</c:v>
                </c:pt>
                <c:pt idx="11">
                  <c:v>0.62068965517241337</c:v>
                </c:pt>
                <c:pt idx="12">
                  <c:v>0.57142857142857106</c:v>
                </c:pt>
                <c:pt idx="13">
                  <c:v>0.51851851851851816</c:v>
                </c:pt>
                <c:pt idx="14">
                  <c:v>0.46153846153846118</c:v>
                </c:pt>
                <c:pt idx="15">
                  <c:v>0.39999999999999963</c:v>
                </c:pt>
                <c:pt idx="16">
                  <c:v>0.3347210657785179</c:v>
                </c:pt>
                <c:pt idx="17">
                  <c:v>0.26238053866203304</c:v>
                </c:pt>
                <c:pt idx="18">
                  <c:v>0.18346957311534973</c:v>
                </c:pt>
                <c:pt idx="19">
                  <c:v>9.7050428163653696E-2</c:v>
                </c:pt>
                <c:pt idx="20">
                  <c:v>1.9980019980020275E-3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F7-459F-B6D6-31AD35A188B9}"/>
            </c:ext>
          </c:extLst>
        </c:ser>
        <c:ser>
          <c:idx val="1"/>
          <c:order val="1"/>
          <c:tx>
            <c:strRef>
              <c:f>'ForageMode (2)'!$AT$98</c:f>
              <c:strCache>
                <c:ptCount val="1"/>
                <c:pt idx="0">
                  <c:v>predation effect on fitness</c:v>
                </c:pt>
              </c:strCache>
            </c:strRef>
          </c:tx>
          <c:spPr>
            <a:ln w="317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'ForageMode (2)'!$AR$99:$AR$119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(2)'!$AT$99:$AT$119</c:f>
              <c:numCache>
                <c:formatCode>General</c:formatCode>
                <c:ptCount val="21"/>
                <c:pt idx="0">
                  <c:v>0.9</c:v>
                </c:pt>
                <c:pt idx="1">
                  <c:v>0.85677447440968957</c:v>
                </c:pt>
                <c:pt idx="2">
                  <c:v>0.81364564201452627</c:v>
                </c:pt>
                <c:pt idx="3">
                  <c:v>0.77062973749245633</c:v>
                </c:pt>
                <c:pt idx="4">
                  <c:v>0.72774678605637577</c:v>
                </c:pt>
                <c:pt idx="5">
                  <c:v>0.68502175709411406</c:v>
                </c:pt>
                <c:pt idx="6">
                  <c:v>0.64248615669013531</c:v>
                </c:pt>
                <c:pt idx="7">
                  <c:v>0.60018026138306635</c:v>
                </c:pt>
                <c:pt idx="8">
                  <c:v>0.5581563056514377</c:v>
                </c:pt>
                <c:pt idx="9">
                  <c:v>0.5164831146245803</c:v>
                </c:pt>
                <c:pt idx="10">
                  <c:v>0.47525296907582204</c:v>
                </c:pt>
                <c:pt idx="11">
                  <c:v>0.43459198371310537</c:v>
                </c:pt>
                <c:pt idx="12">
                  <c:v>0.39467610868816283</c:v>
                </c:pt>
                <c:pt idx="13">
                  <c:v>0.35575623676894241</c:v>
                </c:pt>
                <c:pt idx="14">
                  <c:v>0.31819805153394609</c:v>
                </c:pt>
                <c:pt idx="15">
                  <c:v>0.28254509510736625</c:v>
                </c:pt>
                <c:pt idx="16">
                  <c:v>0.25023990412279296</c:v>
                </c:pt>
                <c:pt idx="17">
                  <c:v>0.22116129251677907</c:v>
                </c:pt>
                <c:pt idx="18">
                  <c:v>0.19773430599982081</c:v>
                </c:pt>
                <c:pt idx="19">
                  <c:v>0.18215275183208188</c:v>
                </c:pt>
                <c:pt idx="20">
                  <c:v>0.17650672791709671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F7-459F-B6D6-31AD35A188B9}"/>
            </c:ext>
          </c:extLst>
        </c:ser>
        <c:ser>
          <c:idx val="2"/>
          <c:order val="2"/>
          <c:tx>
            <c:strRef>
              <c:f>'ForageMode (2)'!$AU$98</c:f>
              <c:strCache>
                <c:ptCount val="1"/>
                <c:pt idx="0">
                  <c:v>fitness-w/pred</c:v>
                </c:pt>
              </c:strCache>
            </c:strRef>
          </c:tx>
          <c:spPr>
            <a:ln w="31750">
              <a:solidFill>
                <a:srgbClr val="009A46"/>
              </a:solidFill>
              <a:prstDash val="solid"/>
            </a:ln>
          </c:spPr>
          <c:marker>
            <c:symbol val="none"/>
          </c:marker>
          <c:xVal>
            <c:numRef>
              <c:f>'ForageMode (2)'!$AR$99:$AR$119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(2)'!$AU$99:$AU$119</c:f>
              <c:numCache>
                <c:formatCode>General</c:formatCode>
                <c:ptCount val="21"/>
                <c:pt idx="0">
                  <c:v>9.9999999999999978E-2</c:v>
                </c:pt>
                <c:pt idx="1">
                  <c:v>0.11758449994928477</c:v>
                </c:pt>
                <c:pt idx="2">
                  <c:v>0.13372277903810526</c:v>
                </c:pt>
                <c:pt idx="3">
                  <c:v>0.14828918142646252</c:v>
                </c:pt>
                <c:pt idx="4">
                  <c:v>0.16114210283251296</c:v>
                </c:pt>
                <c:pt idx="5">
                  <c:v>0.17212110004874293</c:v>
                </c:pt>
                <c:pt idx="6">
                  <c:v>0.18104325507457042</c:v>
                </c:pt>
                <c:pt idx="7">
                  <c:v>0.18769852649572127</c:v>
                </c:pt>
                <c:pt idx="8">
                  <c:v>0.19184369434856197</c:v>
                </c:pt>
                <c:pt idx="9">
                  <c:v>0.19319430473025812</c:v>
                </c:pt>
                <c:pt idx="10">
                  <c:v>0.19141369759084426</c:v>
                </c:pt>
                <c:pt idx="11">
                  <c:v>0.186097671459308</c:v>
                </c:pt>
                <c:pt idx="12">
                  <c:v>0.17675246274040823</c:v>
                </c:pt>
                <c:pt idx="13">
                  <c:v>0.16276228174957574</c:v>
                </c:pt>
                <c:pt idx="14">
                  <c:v>0.14334041000451508</c:v>
                </c:pt>
                <c:pt idx="15">
                  <c:v>0.11745490489263338</c:v>
                </c:pt>
                <c:pt idx="16">
                  <c:v>8.4481161655724946E-2</c:v>
                </c:pt>
                <c:pt idx="17">
                  <c:v>4.1219246145253963E-2</c:v>
                </c:pt>
                <c:pt idx="18">
                  <c:v>-1.4264732884471082E-2</c:v>
                </c:pt>
                <c:pt idx="19">
                  <c:v>-8.5102323668428181E-2</c:v>
                </c:pt>
                <c:pt idx="20">
                  <c:v>-0.17450872591909466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F7-459F-B6D6-31AD35A18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84576"/>
        <c:axId val="1"/>
      </c:scatterChart>
      <c:valAx>
        <c:axId val="530984576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530984576"/>
        <c:crossesAt val="1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650000642476408E-2"/>
          <c:y val="6.0483930510421766E-2"/>
          <c:w val="0.85354834132145674"/>
          <c:h val="0.840726634094862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'ForageMode (2)'!$AE$98</c:f>
              <c:strCache>
                <c:ptCount val="1"/>
                <c:pt idx="0">
                  <c:v>fitness-w/o P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'ForageMode (2)'!$AD$99:$AD$119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(2)'!$AE$99:$AE$119</c:f>
              <c:numCache>
                <c:formatCode>General</c:formatCode>
                <c:ptCount val="21"/>
                <c:pt idx="0">
                  <c:v>1</c:v>
                </c:pt>
                <c:pt idx="1">
                  <c:v>0.97435897435897434</c:v>
                </c:pt>
                <c:pt idx="2">
                  <c:v>0.94736842105263153</c:v>
                </c:pt>
                <c:pt idx="3">
                  <c:v>0.91891891891891886</c:v>
                </c:pt>
                <c:pt idx="4">
                  <c:v>0.88888888888888873</c:v>
                </c:pt>
                <c:pt idx="5">
                  <c:v>0.85714285714285698</c:v>
                </c:pt>
                <c:pt idx="6">
                  <c:v>0.82352941176470573</c:v>
                </c:pt>
                <c:pt idx="7">
                  <c:v>0.78787878787878762</c:v>
                </c:pt>
                <c:pt idx="8">
                  <c:v>0.74999999999999967</c:v>
                </c:pt>
                <c:pt idx="9">
                  <c:v>0.70967741935483841</c:v>
                </c:pt>
                <c:pt idx="10">
                  <c:v>0.6666666666666663</c:v>
                </c:pt>
                <c:pt idx="11">
                  <c:v>0.62068965517241337</c:v>
                </c:pt>
                <c:pt idx="12">
                  <c:v>0.57142857142857106</c:v>
                </c:pt>
                <c:pt idx="13">
                  <c:v>0.51851851851851816</c:v>
                </c:pt>
                <c:pt idx="14">
                  <c:v>0.46153846153846118</c:v>
                </c:pt>
                <c:pt idx="15">
                  <c:v>0.39999999999999963</c:v>
                </c:pt>
                <c:pt idx="16">
                  <c:v>0.3347210657785179</c:v>
                </c:pt>
                <c:pt idx="17">
                  <c:v>0.26238053866203304</c:v>
                </c:pt>
                <c:pt idx="18">
                  <c:v>0.18346957311534973</c:v>
                </c:pt>
                <c:pt idx="19">
                  <c:v>9.7050428163653696E-2</c:v>
                </c:pt>
                <c:pt idx="20">
                  <c:v>1.9980019980020275E-3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F7-459F-B6D6-31AD35A188B9}"/>
            </c:ext>
          </c:extLst>
        </c:ser>
        <c:ser>
          <c:idx val="1"/>
          <c:order val="1"/>
          <c:tx>
            <c:strRef>
              <c:f>'ForageMode (2)'!$AF$98</c:f>
              <c:strCache>
                <c:ptCount val="1"/>
                <c:pt idx="0">
                  <c:v>predation effect on fitness</c:v>
                </c:pt>
              </c:strCache>
            </c:strRef>
          </c:tx>
          <c:spPr>
            <a:ln w="317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'ForageMode (2)'!$AD$99:$AD$119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(2)'!$AF$99:$AF$119</c:f>
              <c:numCache>
                <c:formatCode>General</c:formatCode>
                <c:ptCount val="21"/>
                <c:pt idx="0">
                  <c:v>0.32449961479175904</c:v>
                </c:pt>
                <c:pt idx="1">
                  <c:v>0.30891442989928453</c:v>
                </c:pt>
                <c:pt idx="2">
                  <c:v>0.29336410823411913</c:v>
                </c:pt>
                <c:pt idx="3">
                  <c:v>0.2778545032926405</c:v>
                </c:pt>
                <c:pt idx="4">
                  <c:v>0.26239283526803847</c:v>
                </c:pt>
                <c:pt idx="5">
                  <c:v>0.24698810700112661</c:v>
                </c:pt>
                <c:pt idx="6">
                  <c:v>0.23165167817220736</c:v>
                </c:pt>
                <c:pt idx="7">
                  <c:v>0.21639807069380254</c:v>
                </c:pt>
                <c:pt idx="8">
                  <c:v>0.20124611797498096</c:v>
                </c:pt>
                <c:pt idx="9">
                  <c:v>0.18622063526902694</c:v>
                </c:pt>
                <c:pt idx="10">
                  <c:v>0.17135489488193781</c:v>
                </c:pt>
                <c:pt idx="11">
                  <c:v>0.15669436811832121</c:v>
                </c:pt>
                <c:pt idx="12">
                  <c:v>0.14230249470757697</c:v>
                </c:pt>
                <c:pt idx="13">
                  <c:v>0.12826973532365293</c:v>
                </c:pt>
                <c:pt idx="14">
                  <c:v>0.11472793905583756</c:v>
                </c:pt>
                <c:pt idx="15">
                  <c:v>0.10187308280404585</c:v>
                </c:pt>
                <c:pt idx="16">
                  <c:v>9.022528054819226E-2</c:v>
                </c:pt>
                <c:pt idx="17">
                  <c:v>7.9740838031713723E-2</c:v>
                </c:pt>
                <c:pt idx="18">
                  <c:v>7.1294117920064071E-2</c:v>
                </c:pt>
                <c:pt idx="19">
                  <c:v>6.5676108669743827E-2</c:v>
                </c:pt>
                <c:pt idx="20">
                  <c:v>6.3640405796946325E-2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F7-459F-B6D6-31AD35A188B9}"/>
            </c:ext>
          </c:extLst>
        </c:ser>
        <c:ser>
          <c:idx val="2"/>
          <c:order val="2"/>
          <c:tx>
            <c:strRef>
              <c:f>'ForageMode (2)'!$AG$98</c:f>
              <c:strCache>
                <c:ptCount val="1"/>
                <c:pt idx="0">
                  <c:v>fitness-w/pred</c:v>
                </c:pt>
              </c:strCache>
            </c:strRef>
          </c:tx>
          <c:spPr>
            <a:ln w="31750">
              <a:solidFill>
                <a:srgbClr val="009A46"/>
              </a:solidFill>
              <a:prstDash val="solid"/>
            </a:ln>
          </c:spPr>
          <c:marker>
            <c:symbol val="none"/>
          </c:marker>
          <c:xVal>
            <c:numRef>
              <c:f>'ForageMode (2)'!$AD$99:$AD$119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(2)'!$AG$99:$AG$119</c:f>
              <c:numCache>
                <c:formatCode>General</c:formatCode>
                <c:ptCount val="21"/>
                <c:pt idx="0">
                  <c:v>0.67550038520824096</c:v>
                </c:pt>
                <c:pt idx="1">
                  <c:v>0.66544454445968981</c:v>
                </c:pt>
                <c:pt idx="2">
                  <c:v>0.65400431281851246</c:v>
                </c:pt>
                <c:pt idx="3">
                  <c:v>0.64106441562627836</c:v>
                </c:pt>
                <c:pt idx="4">
                  <c:v>0.62649605362085026</c:v>
                </c:pt>
                <c:pt idx="5">
                  <c:v>0.61015475014173037</c:v>
                </c:pt>
                <c:pt idx="6">
                  <c:v>0.5918777335924984</c:v>
                </c:pt>
                <c:pt idx="7">
                  <c:v>0.57148071718498505</c:v>
                </c:pt>
                <c:pt idx="8">
                  <c:v>0.54875388202501874</c:v>
                </c:pt>
                <c:pt idx="9">
                  <c:v>0.52345678408581153</c:v>
                </c:pt>
                <c:pt idx="10">
                  <c:v>0.49531177178472852</c:v>
                </c:pt>
                <c:pt idx="11">
                  <c:v>0.46399528705409215</c:v>
                </c:pt>
                <c:pt idx="12">
                  <c:v>0.42912607672099412</c:v>
                </c:pt>
                <c:pt idx="13">
                  <c:v>0.39024878319486522</c:v>
                </c:pt>
                <c:pt idx="14">
                  <c:v>0.34681052248262362</c:v>
                </c:pt>
                <c:pt idx="15">
                  <c:v>0.2981269171959538</c:v>
                </c:pt>
                <c:pt idx="16">
                  <c:v>0.24449578523032564</c:v>
                </c:pt>
                <c:pt idx="17">
                  <c:v>0.18263970063031931</c:v>
                </c:pt>
                <c:pt idx="18">
                  <c:v>0.11217545519528566</c:v>
                </c:pt>
                <c:pt idx="19">
                  <c:v>3.1374319493909869E-2</c:v>
                </c:pt>
                <c:pt idx="20">
                  <c:v>-6.1642403798944298E-2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F7-459F-B6D6-31AD35A18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84576"/>
        <c:axId val="1"/>
      </c:scatterChart>
      <c:valAx>
        <c:axId val="530984576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530984576"/>
        <c:crossesAt val="1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133976132893459E-2"/>
          <c:y val="7.8441623999423088E-2"/>
          <c:w val="0.84027377668586656"/>
          <c:h val="0.840726634094862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'ForageMode (2)'!$Q$163</c:f>
              <c:strCache>
                <c:ptCount val="1"/>
                <c:pt idx="0">
                  <c:v>fitness-w/o P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'ForageMode (2)'!$P$164:$P$184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1E-3</c:v>
                </c:pt>
              </c:numCache>
            </c:numRef>
          </c:xVal>
          <c:yVal>
            <c:numRef>
              <c:f>'ForageMode (2)'!$Q$164:$Q$184</c:f>
              <c:numCache>
                <c:formatCode>General</c:formatCode>
                <c:ptCount val="21"/>
                <c:pt idx="0">
                  <c:v>1</c:v>
                </c:pt>
                <c:pt idx="1">
                  <c:v>0.99418604651162779</c:v>
                </c:pt>
                <c:pt idx="2">
                  <c:v>0.98780487804878048</c:v>
                </c:pt>
                <c:pt idx="3">
                  <c:v>0.98076923076923073</c:v>
                </c:pt>
                <c:pt idx="4">
                  <c:v>0.97297297297297292</c:v>
                </c:pt>
                <c:pt idx="5">
                  <c:v>0.9642857142857143</c:v>
                </c:pt>
                <c:pt idx="6">
                  <c:v>0.95454545454545447</c:v>
                </c:pt>
                <c:pt idx="7">
                  <c:v>0.94354838709677413</c:v>
                </c:pt>
                <c:pt idx="8">
                  <c:v>0.93103448275862055</c:v>
                </c:pt>
                <c:pt idx="9">
                  <c:v>0.91666666666666663</c:v>
                </c:pt>
                <c:pt idx="10">
                  <c:v>0.89999999999999991</c:v>
                </c:pt>
                <c:pt idx="11">
                  <c:v>0.88043478260869545</c:v>
                </c:pt>
                <c:pt idx="12">
                  <c:v>0.85714285714285687</c:v>
                </c:pt>
                <c:pt idx="13">
                  <c:v>0.82894736842105243</c:v>
                </c:pt>
                <c:pt idx="14">
                  <c:v>0.79411764705882326</c:v>
                </c:pt>
                <c:pt idx="15">
                  <c:v>0.74999999999999967</c:v>
                </c:pt>
                <c:pt idx="16">
                  <c:v>0.69230769230769185</c:v>
                </c:pt>
                <c:pt idx="17">
                  <c:v>0.61363636363636309</c:v>
                </c:pt>
                <c:pt idx="18">
                  <c:v>0.49999999999999906</c:v>
                </c:pt>
                <c:pt idx="19">
                  <c:v>0.32142857142857001</c:v>
                </c:pt>
                <c:pt idx="20">
                  <c:v>8.9285714285714298E-3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F7-459F-B6D6-31AD35A188B9}"/>
            </c:ext>
          </c:extLst>
        </c:ser>
        <c:ser>
          <c:idx val="1"/>
          <c:order val="1"/>
          <c:tx>
            <c:strRef>
              <c:f>'ForageMode (2)'!$R$98</c:f>
              <c:strCache>
                <c:ptCount val="1"/>
                <c:pt idx="0">
                  <c:v>predation effect on fitness</c:v>
                </c:pt>
              </c:strCache>
            </c:strRef>
          </c:tx>
          <c:spPr>
            <a:ln w="317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'ForageMode (2)'!$P$164:$P$184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1E-3</c:v>
                </c:pt>
              </c:numCache>
            </c:numRef>
          </c:xVal>
          <c:yVal>
            <c:numRef>
              <c:f>'ForageMode (2)'!$R$164:$R$184</c:f>
              <c:numCache>
                <c:formatCode>General</c:formatCode>
                <c:ptCount val="21"/>
                <c:pt idx="0">
                  <c:v>0.99999999999999978</c:v>
                </c:pt>
                <c:pt idx="1">
                  <c:v>0.9753204601565576</c:v>
                </c:pt>
                <c:pt idx="2">
                  <c:v>0.95131487952202209</c:v>
                </c:pt>
                <c:pt idx="3">
                  <c:v>0.92803555966352902</c:v>
                </c:pt>
                <c:pt idx="4">
                  <c:v>0.90553851381374129</c:v>
                </c:pt>
                <c:pt idx="5">
                  <c:v>0.88388347648318399</c:v>
                </c:pt>
                <c:pt idx="6">
                  <c:v>0.86313382508160308</c:v>
                </c:pt>
                <c:pt idx="7">
                  <c:v>0.84335638967164972</c:v>
                </c:pt>
                <c:pt idx="8">
                  <c:v>0.82462112512353181</c:v>
                </c:pt>
                <c:pt idx="9">
                  <c:v>0.80700061957844826</c:v>
                </c:pt>
                <c:pt idx="10">
                  <c:v>0.79056941504209455</c:v>
                </c:pt>
                <c:pt idx="11">
                  <c:v>0.7754031209635408</c:v>
                </c:pt>
                <c:pt idx="12">
                  <c:v>0.76157731058639055</c:v>
                </c:pt>
                <c:pt idx="13">
                  <c:v>0.74916620318858462</c:v>
                </c:pt>
                <c:pt idx="14">
                  <c:v>0.7382411530116697</c:v>
                </c:pt>
                <c:pt idx="15">
                  <c:v>0.72886898685566226</c:v>
                </c:pt>
                <c:pt idx="16">
                  <c:v>0.72111025509279758</c:v>
                </c:pt>
                <c:pt idx="17">
                  <c:v>0.71501748230375439</c:v>
                </c:pt>
                <c:pt idx="18">
                  <c:v>0.71063352017759451</c:v>
                </c:pt>
                <c:pt idx="19">
                  <c:v>0.70799011292531466</c:v>
                </c:pt>
                <c:pt idx="20">
                  <c:v>0.70710713473984965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F7-459F-B6D6-31AD35A188B9}"/>
            </c:ext>
          </c:extLst>
        </c:ser>
        <c:ser>
          <c:idx val="2"/>
          <c:order val="2"/>
          <c:tx>
            <c:strRef>
              <c:f>'ForageMode (2)'!$S$98</c:f>
              <c:strCache>
                <c:ptCount val="1"/>
                <c:pt idx="0">
                  <c:v>fitness-w/pred</c:v>
                </c:pt>
              </c:strCache>
            </c:strRef>
          </c:tx>
          <c:spPr>
            <a:ln w="31750">
              <a:solidFill>
                <a:srgbClr val="009A46"/>
              </a:solidFill>
              <a:prstDash val="solid"/>
            </a:ln>
          </c:spPr>
          <c:marker>
            <c:symbol val="none"/>
          </c:marker>
          <c:xVal>
            <c:numRef>
              <c:f>'ForageMode (2)'!$P$164:$P$184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1E-3</c:v>
                </c:pt>
              </c:numCache>
            </c:numRef>
          </c:xVal>
          <c:yVal>
            <c:numRef>
              <c:f>'ForageMode (2)'!$S$164:$S$184</c:f>
              <c:numCache>
                <c:formatCode>General</c:formatCode>
                <c:ptCount val="21"/>
                <c:pt idx="0">
                  <c:v>0</c:v>
                </c:pt>
                <c:pt idx="1">
                  <c:v>1.8865586355070185E-2</c:v>
                </c:pt>
                <c:pt idx="2">
                  <c:v>3.6489998526758383E-2</c:v>
                </c:pt>
                <c:pt idx="3">
                  <c:v>5.2733671105701707E-2</c:v>
                </c:pt>
                <c:pt idx="4">
                  <c:v>6.743445915923163E-2</c:v>
                </c:pt>
                <c:pt idx="5">
                  <c:v>8.0402237802530307E-2</c:v>
                </c:pt>
                <c:pt idx="6">
                  <c:v>9.1411629463851396E-2</c:v>
                </c:pt>
                <c:pt idx="7">
                  <c:v>0.10019199742512441</c:v>
                </c:pt>
                <c:pt idx="8">
                  <c:v>0.10641335763508875</c:v>
                </c:pt>
                <c:pt idx="9">
                  <c:v>0.10966604708821837</c:v>
                </c:pt>
                <c:pt idx="10">
                  <c:v>0.10943058495790536</c:v>
                </c:pt>
                <c:pt idx="11">
                  <c:v>0.10503166164515465</c:v>
                </c:pt>
                <c:pt idx="12">
                  <c:v>9.5565546556466319E-2</c:v>
                </c:pt>
                <c:pt idx="13">
                  <c:v>7.978116523246781E-2</c:v>
                </c:pt>
                <c:pt idx="14">
                  <c:v>5.5876494047153558E-2</c:v>
                </c:pt>
                <c:pt idx="15">
                  <c:v>2.1131013144337407E-2</c:v>
                </c:pt>
                <c:pt idx="16">
                  <c:v>-2.8802562785105734E-2</c:v>
                </c:pt>
                <c:pt idx="17">
                  <c:v>-0.1013811186673913</c:v>
                </c:pt>
                <c:pt idx="18">
                  <c:v>-0.21063352017759546</c:v>
                </c:pt>
                <c:pt idx="19">
                  <c:v>-0.38656154149674465</c:v>
                </c:pt>
                <c:pt idx="20">
                  <c:v>-0.69817856331127826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F7-459F-B6D6-31AD35A18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84576"/>
        <c:axId val="1"/>
      </c:scatterChart>
      <c:valAx>
        <c:axId val="530984576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530984576"/>
        <c:crossesAt val="1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116248329969584E-2"/>
          <c:y val="6.0483930510421766E-2"/>
          <c:w val="0.92576750334006086"/>
          <c:h val="0.86772962962962963"/>
        </c:manualLayout>
      </c:layout>
      <c:scatterChart>
        <c:scatterStyle val="lineMarker"/>
        <c:varyColors val="0"/>
        <c:ser>
          <c:idx val="0"/>
          <c:order val="0"/>
          <c:tx>
            <c:strRef>
              <c:f>'ForageMode (2)'!$AS$98</c:f>
              <c:strCache>
                <c:ptCount val="1"/>
                <c:pt idx="0">
                  <c:v>fitness-w/o P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'ForageMode (2)'!$AR$99:$AR$119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(2)'!$AS$99:$AS$119</c:f>
              <c:numCache>
                <c:formatCode>General</c:formatCode>
                <c:ptCount val="21"/>
                <c:pt idx="0">
                  <c:v>1</c:v>
                </c:pt>
                <c:pt idx="1">
                  <c:v>0.97435897435897434</c:v>
                </c:pt>
                <c:pt idx="2">
                  <c:v>0.94736842105263153</c:v>
                </c:pt>
                <c:pt idx="3">
                  <c:v>0.91891891891891886</c:v>
                </c:pt>
                <c:pt idx="4">
                  <c:v>0.88888888888888873</c:v>
                </c:pt>
                <c:pt idx="5">
                  <c:v>0.85714285714285698</c:v>
                </c:pt>
                <c:pt idx="6">
                  <c:v>0.82352941176470573</c:v>
                </c:pt>
                <c:pt idx="7">
                  <c:v>0.78787878787878762</c:v>
                </c:pt>
                <c:pt idx="8">
                  <c:v>0.74999999999999967</c:v>
                </c:pt>
                <c:pt idx="9">
                  <c:v>0.70967741935483841</c:v>
                </c:pt>
                <c:pt idx="10">
                  <c:v>0.6666666666666663</c:v>
                </c:pt>
                <c:pt idx="11">
                  <c:v>0.62068965517241337</c:v>
                </c:pt>
                <c:pt idx="12">
                  <c:v>0.57142857142857106</c:v>
                </c:pt>
                <c:pt idx="13">
                  <c:v>0.51851851851851816</c:v>
                </c:pt>
                <c:pt idx="14">
                  <c:v>0.46153846153846118</c:v>
                </c:pt>
                <c:pt idx="15">
                  <c:v>0.39999999999999963</c:v>
                </c:pt>
                <c:pt idx="16">
                  <c:v>0.3347210657785179</c:v>
                </c:pt>
                <c:pt idx="17">
                  <c:v>0.26238053866203304</c:v>
                </c:pt>
                <c:pt idx="18">
                  <c:v>0.18346957311534973</c:v>
                </c:pt>
                <c:pt idx="19">
                  <c:v>9.7050428163653696E-2</c:v>
                </c:pt>
                <c:pt idx="20">
                  <c:v>1.9980019980020275E-3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F7-459F-B6D6-31AD35A188B9}"/>
            </c:ext>
          </c:extLst>
        </c:ser>
        <c:ser>
          <c:idx val="1"/>
          <c:order val="1"/>
          <c:tx>
            <c:strRef>
              <c:f>'ForageMode (2)'!$AT$98</c:f>
              <c:strCache>
                <c:ptCount val="1"/>
                <c:pt idx="0">
                  <c:v>predation effect on fitness</c:v>
                </c:pt>
              </c:strCache>
            </c:strRef>
          </c:tx>
          <c:spPr>
            <a:ln w="317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'ForageMode (2)'!$AR$99:$AR$119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0.20100000000000001</c:v>
                </c:pt>
                <c:pt idx="17">
                  <c:v>0.15100000000000002</c:v>
                </c:pt>
                <c:pt idx="18">
                  <c:v>0.10100000000000002</c:v>
                </c:pt>
                <c:pt idx="19">
                  <c:v>5.1000000000000018E-2</c:v>
                </c:pt>
                <c:pt idx="20">
                  <c:v>1.0000000000000148E-3</c:v>
                </c:pt>
              </c:numCache>
            </c:numRef>
          </c:xVal>
          <c:yVal>
            <c:numRef>
              <c:f>'ForageMode (2)'!$AT$99:$AT$119</c:f>
              <c:numCache>
                <c:formatCode>General</c:formatCode>
                <c:ptCount val="21"/>
                <c:pt idx="0">
                  <c:v>0.9</c:v>
                </c:pt>
                <c:pt idx="1">
                  <c:v>0.85677447440968957</c:v>
                </c:pt>
                <c:pt idx="2">
                  <c:v>0.81364564201452627</c:v>
                </c:pt>
                <c:pt idx="3">
                  <c:v>0.77062973749245633</c:v>
                </c:pt>
                <c:pt idx="4">
                  <c:v>0.72774678605637577</c:v>
                </c:pt>
                <c:pt idx="5">
                  <c:v>0.68502175709411406</c:v>
                </c:pt>
                <c:pt idx="6">
                  <c:v>0.64248615669013531</c:v>
                </c:pt>
                <c:pt idx="7">
                  <c:v>0.60018026138306635</c:v>
                </c:pt>
                <c:pt idx="8">
                  <c:v>0.5581563056514377</c:v>
                </c:pt>
                <c:pt idx="9">
                  <c:v>0.5164831146245803</c:v>
                </c:pt>
                <c:pt idx="10">
                  <c:v>0.47525296907582204</c:v>
                </c:pt>
                <c:pt idx="11">
                  <c:v>0.43459198371310537</c:v>
                </c:pt>
                <c:pt idx="12">
                  <c:v>0.39467610868816283</c:v>
                </c:pt>
                <c:pt idx="13">
                  <c:v>0.35575623676894241</c:v>
                </c:pt>
                <c:pt idx="14">
                  <c:v>0.31819805153394609</c:v>
                </c:pt>
                <c:pt idx="15">
                  <c:v>0.28254509510736625</c:v>
                </c:pt>
                <c:pt idx="16">
                  <c:v>0.25023990412279296</c:v>
                </c:pt>
                <c:pt idx="17">
                  <c:v>0.22116129251677907</c:v>
                </c:pt>
                <c:pt idx="18">
                  <c:v>0.19773430599982081</c:v>
                </c:pt>
                <c:pt idx="19">
                  <c:v>0.18215275183208188</c:v>
                </c:pt>
                <c:pt idx="20">
                  <c:v>0.17650672791709671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F7-459F-B6D6-31AD35A18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84576"/>
        <c:axId val="1"/>
      </c:scatterChart>
      <c:valAx>
        <c:axId val="530984576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530984576"/>
        <c:crossesAt val="1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8687777777777779E-2"/>
          <c:y val="2.1013703703703705E-2"/>
          <c:w val="0.92262444444444447"/>
          <c:h val="0.90720000000000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'ForageMode (2)'!$Q$163</c:f>
              <c:strCache>
                <c:ptCount val="1"/>
                <c:pt idx="0">
                  <c:v>fitness-w/o P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'ForageMode (2)'!$P$164:$P$184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1E-3</c:v>
                </c:pt>
              </c:numCache>
            </c:numRef>
          </c:xVal>
          <c:yVal>
            <c:numRef>
              <c:f>'ForageMode (2)'!$Q$164:$Q$184</c:f>
              <c:numCache>
                <c:formatCode>General</c:formatCode>
                <c:ptCount val="21"/>
                <c:pt idx="0">
                  <c:v>1</c:v>
                </c:pt>
                <c:pt idx="1">
                  <c:v>0.99418604651162779</c:v>
                </c:pt>
                <c:pt idx="2">
                  <c:v>0.98780487804878048</c:v>
                </c:pt>
                <c:pt idx="3">
                  <c:v>0.98076923076923073</c:v>
                </c:pt>
                <c:pt idx="4">
                  <c:v>0.97297297297297292</c:v>
                </c:pt>
                <c:pt idx="5">
                  <c:v>0.9642857142857143</c:v>
                </c:pt>
                <c:pt idx="6">
                  <c:v>0.95454545454545447</c:v>
                </c:pt>
                <c:pt idx="7">
                  <c:v>0.94354838709677413</c:v>
                </c:pt>
                <c:pt idx="8">
                  <c:v>0.93103448275862055</c:v>
                </c:pt>
                <c:pt idx="9">
                  <c:v>0.91666666666666663</c:v>
                </c:pt>
                <c:pt idx="10">
                  <c:v>0.89999999999999991</c:v>
                </c:pt>
                <c:pt idx="11">
                  <c:v>0.88043478260869545</c:v>
                </c:pt>
                <c:pt idx="12">
                  <c:v>0.85714285714285687</c:v>
                </c:pt>
                <c:pt idx="13">
                  <c:v>0.82894736842105243</c:v>
                </c:pt>
                <c:pt idx="14">
                  <c:v>0.79411764705882326</c:v>
                </c:pt>
                <c:pt idx="15">
                  <c:v>0.74999999999999967</c:v>
                </c:pt>
                <c:pt idx="16">
                  <c:v>0.69230769230769185</c:v>
                </c:pt>
                <c:pt idx="17">
                  <c:v>0.61363636363636309</c:v>
                </c:pt>
                <c:pt idx="18">
                  <c:v>0.49999999999999906</c:v>
                </c:pt>
                <c:pt idx="19">
                  <c:v>0.32142857142857001</c:v>
                </c:pt>
                <c:pt idx="20">
                  <c:v>8.9285714285714298E-3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F7-459F-B6D6-31AD35A188B9}"/>
            </c:ext>
          </c:extLst>
        </c:ser>
        <c:ser>
          <c:idx val="1"/>
          <c:order val="1"/>
          <c:tx>
            <c:strRef>
              <c:f>'ForageMode (2)'!$R$98</c:f>
              <c:strCache>
                <c:ptCount val="1"/>
                <c:pt idx="0">
                  <c:v>predation effect on fitness</c:v>
                </c:pt>
              </c:strCache>
            </c:strRef>
          </c:tx>
          <c:spPr>
            <a:ln w="317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'ForageMode (2)'!$P$164:$P$184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4.9999999999999684E-2</c:v>
                </c:pt>
                <c:pt idx="20">
                  <c:v>1E-3</c:v>
                </c:pt>
              </c:numCache>
            </c:numRef>
          </c:xVal>
          <c:yVal>
            <c:numRef>
              <c:f>'ForageMode (2)'!$R$164:$R$184</c:f>
              <c:numCache>
                <c:formatCode>General</c:formatCode>
                <c:ptCount val="21"/>
                <c:pt idx="0">
                  <c:v>0.99999999999999978</c:v>
                </c:pt>
                <c:pt idx="1">
                  <c:v>0.9753204601565576</c:v>
                </c:pt>
                <c:pt idx="2">
                  <c:v>0.95131487952202209</c:v>
                </c:pt>
                <c:pt idx="3">
                  <c:v>0.92803555966352902</c:v>
                </c:pt>
                <c:pt idx="4">
                  <c:v>0.90553851381374129</c:v>
                </c:pt>
                <c:pt idx="5">
                  <c:v>0.88388347648318399</c:v>
                </c:pt>
                <c:pt idx="6">
                  <c:v>0.86313382508160308</c:v>
                </c:pt>
                <c:pt idx="7">
                  <c:v>0.84335638967164972</c:v>
                </c:pt>
                <c:pt idx="8">
                  <c:v>0.82462112512353181</c:v>
                </c:pt>
                <c:pt idx="9">
                  <c:v>0.80700061957844826</c:v>
                </c:pt>
                <c:pt idx="10">
                  <c:v>0.79056941504209455</c:v>
                </c:pt>
                <c:pt idx="11">
                  <c:v>0.7754031209635408</c:v>
                </c:pt>
                <c:pt idx="12">
                  <c:v>0.76157731058639055</c:v>
                </c:pt>
                <c:pt idx="13">
                  <c:v>0.74916620318858462</c:v>
                </c:pt>
                <c:pt idx="14">
                  <c:v>0.7382411530116697</c:v>
                </c:pt>
                <c:pt idx="15">
                  <c:v>0.72886898685566226</c:v>
                </c:pt>
                <c:pt idx="16">
                  <c:v>0.72111025509279758</c:v>
                </c:pt>
                <c:pt idx="17">
                  <c:v>0.71501748230375439</c:v>
                </c:pt>
                <c:pt idx="18">
                  <c:v>0.71063352017759451</c:v>
                </c:pt>
                <c:pt idx="19">
                  <c:v>0.70799011292531466</c:v>
                </c:pt>
                <c:pt idx="20">
                  <c:v>0.70710713473984965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F7-459F-B6D6-31AD35A18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84576"/>
        <c:axId val="1"/>
      </c:scatterChart>
      <c:valAx>
        <c:axId val="530984576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530984576"/>
        <c:crossesAt val="1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116248329969584E-2"/>
          <c:y val="6.0483930510421766E-2"/>
          <c:w val="0.92576750334006086"/>
          <c:h val="0.8735624987239603"/>
        </c:manualLayout>
      </c:layout>
      <c:scatterChart>
        <c:scatterStyle val="lineMarker"/>
        <c:varyColors val="0"/>
        <c:ser>
          <c:idx val="0"/>
          <c:order val="0"/>
          <c:tx>
            <c:strRef>
              <c:f>'ForageMode (2)'!$C$98</c:f>
              <c:strCache>
                <c:ptCount val="1"/>
                <c:pt idx="0">
                  <c:v>fitness-w/o P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'ForageMode (2)'!$B$131:$B$151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7.0000000000000007E-2</c:v>
                </c:pt>
                <c:pt idx="20">
                  <c:v>1E-3</c:v>
                </c:pt>
              </c:numCache>
            </c:numRef>
          </c:xVal>
          <c:yVal>
            <c:numRef>
              <c:f>'ForageMode (2)'!$C$131:$C$151</c:f>
              <c:numCache>
                <c:formatCode>General</c:formatCode>
                <c:ptCount val="21"/>
                <c:pt idx="0">
                  <c:v>1</c:v>
                </c:pt>
                <c:pt idx="1">
                  <c:v>0.99418604651162779</c:v>
                </c:pt>
                <c:pt idx="2">
                  <c:v>0.98780487804878048</c:v>
                </c:pt>
                <c:pt idx="3">
                  <c:v>0.98076923076923073</c:v>
                </c:pt>
                <c:pt idx="4">
                  <c:v>0.97297297297297292</c:v>
                </c:pt>
                <c:pt idx="5">
                  <c:v>0.9642857142857143</c:v>
                </c:pt>
                <c:pt idx="6">
                  <c:v>0.95454545454545447</c:v>
                </c:pt>
                <c:pt idx="7">
                  <c:v>0.94354838709677413</c:v>
                </c:pt>
                <c:pt idx="8">
                  <c:v>0.93103448275862055</c:v>
                </c:pt>
                <c:pt idx="9">
                  <c:v>0.91666666666666663</c:v>
                </c:pt>
                <c:pt idx="10">
                  <c:v>0.89999999999999991</c:v>
                </c:pt>
                <c:pt idx="11">
                  <c:v>0.88043478260869545</c:v>
                </c:pt>
                <c:pt idx="12">
                  <c:v>0.85714285714285687</c:v>
                </c:pt>
                <c:pt idx="13">
                  <c:v>0.82894736842105243</c:v>
                </c:pt>
                <c:pt idx="14">
                  <c:v>0.79411764705882326</c:v>
                </c:pt>
                <c:pt idx="15">
                  <c:v>0.74999999999999967</c:v>
                </c:pt>
                <c:pt idx="16">
                  <c:v>0.69230769230769185</c:v>
                </c:pt>
                <c:pt idx="17">
                  <c:v>0.61363636363636309</c:v>
                </c:pt>
                <c:pt idx="18">
                  <c:v>0.49999999999999906</c:v>
                </c:pt>
                <c:pt idx="19">
                  <c:v>0.40384615384615391</c:v>
                </c:pt>
                <c:pt idx="20">
                  <c:v>8.9285714285714298E-3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36-4FF7-89DC-E3BF578F24B6}"/>
            </c:ext>
          </c:extLst>
        </c:ser>
        <c:ser>
          <c:idx val="1"/>
          <c:order val="1"/>
          <c:tx>
            <c:strRef>
              <c:f>'ForageMode (2)'!$D$98</c:f>
              <c:strCache>
                <c:ptCount val="1"/>
                <c:pt idx="0">
                  <c:v>predation effect on fitness</c:v>
                </c:pt>
              </c:strCache>
            </c:strRef>
          </c:tx>
          <c:spPr>
            <a:ln w="317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'ForageMode (2)'!$B$131:$B$151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7.0000000000000007E-2</c:v>
                </c:pt>
                <c:pt idx="20">
                  <c:v>1E-3</c:v>
                </c:pt>
              </c:numCache>
            </c:numRef>
          </c:xVal>
          <c:yVal>
            <c:numRef>
              <c:f>'ForageMode (2)'!$D$131:$D$151</c:f>
              <c:numCache>
                <c:formatCode>General</c:formatCode>
                <c:ptCount val="21"/>
                <c:pt idx="0">
                  <c:v>0.45</c:v>
                </c:pt>
                <c:pt idx="1">
                  <c:v>0.42838723720484478</c:v>
                </c:pt>
                <c:pt idx="2">
                  <c:v>0.40682282100726314</c:v>
                </c:pt>
                <c:pt idx="3">
                  <c:v>0.38531486874622817</c:v>
                </c:pt>
                <c:pt idx="4">
                  <c:v>0.36387339302818789</c:v>
                </c:pt>
                <c:pt idx="5">
                  <c:v>0.34251087854705703</c:v>
                </c:pt>
                <c:pt idx="6">
                  <c:v>0.32124307834506766</c:v>
                </c:pt>
                <c:pt idx="7">
                  <c:v>0.30009013069153317</c:v>
                </c:pt>
                <c:pt idx="8">
                  <c:v>0.27907815282571885</c:v>
                </c:pt>
                <c:pt idx="9">
                  <c:v>0.25824155731229015</c:v>
                </c:pt>
                <c:pt idx="10">
                  <c:v>0.23762648453791102</c:v>
                </c:pt>
                <c:pt idx="11">
                  <c:v>0.21729599185655268</c:v>
                </c:pt>
                <c:pt idx="12">
                  <c:v>0.19733805434408141</c:v>
                </c:pt>
                <c:pt idx="13">
                  <c:v>0.17787811838447121</c:v>
                </c:pt>
                <c:pt idx="14">
                  <c:v>0.15909902576697305</c:v>
                </c:pt>
                <c:pt idx="15">
                  <c:v>0.14127254755368313</c:v>
                </c:pt>
                <c:pt idx="16">
                  <c:v>0.12480754415067646</c:v>
                </c:pt>
                <c:pt idx="17">
                  <c:v>0.11031532601522845</c:v>
                </c:pt>
                <c:pt idx="18">
                  <c:v>9.8669027172040721E-2</c:v>
                </c:pt>
                <c:pt idx="19">
                  <c:v>9.0968348257046971E-2</c:v>
                </c:pt>
                <c:pt idx="20">
                  <c:v>8.8253363958548353E-2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36-4FF7-89DC-E3BF578F2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84576"/>
        <c:axId val="1"/>
      </c:scatterChart>
      <c:valAx>
        <c:axId val="530984576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530984576"/>
        <c:crossesAt val="1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650000642476408E-2"/>
          <c:y val="6.0483930510421766E-2"/>
          <c:w val="0.85354834132145674"/>
          <c:h val="0.840726634094862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'ForageMode (2)'!$C$98</c:f>
              <c:strCache>
                <c:ptCount val="1"/>
                <c:pt idx="0">
                  <c:v>fitness-w/o P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'ForageMode (2)'!$B$131:$B$151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7.0000000000000007E-2</c:v>
                </c:pt>
                <c:pt idx="20">
                  <c:v>1E-3</c:v>
                </c:pt>
              </c:numCache>
            </c:numRef>
          </c:xVal>
          <c:yVal>
            <c:numRef>
              <c:f>'ForageMode (2)'!$C$131:$C$151</c:f>
              <c:numCache>
                <c:formatCode>General</c:formatCode>
                <c:ptCount val="21"/>
                <c:pt idx="0">
                  <c:v>1</c:v>
                </c:pt>
                <c:pt idx="1">
                  <c:v>0.99418604651162779</c:v>
                </c:pt>
                <c:pt idx="2">
                  <c:v>0.98780487804878048</c:v>
                </c:pt>
                <c:pt idx="3">
                  <c:v>0.98076923076923073</c:v>
                </c:pt>
                <c:pt idx="4">
                  <c:v>0.97297297297297292</c:v>
                </c:pt>
                <c:pt idx="5">
                  <c:v>0.9642857142857143</c:v>
                </c:pt>
                <c:pt idx="6">
                  <c:v>0.95454545454545447</c:v>
                </c:pt>
                <c:pt idx="7">
                  <c:v>0.94354838709677413</c:v>
                </c:pt>
                <c:pt idx="8">
                  <c:v>0.93103448275862055</c:v>
                </c:pt>
                <c:pt idx="9">
                  <c:v>0.91666666666666663</c:v>
                </c:pt>
                <c:pt idx="10">
                  <c:v>0.89999999999999991</c:v>
                </c:pt>
                <c:pt idx="11">
                  <c:v>0.88043478260869545</c:v>
                </c:pt>
                <c:pt idx="12">
                  <c:v>0.85714285714285687</c:v>
                </c:pt>
                <c:pt idx="13">
                  <c:v>0.82894736842105243</c:v>
                </c:pt>
                <c:pt idx="14">
                  <c:v>0.79411764705882326</c:v>
                </c:pt>
                <c:pt idx="15">
                  <c:v>0.74999999999999967</c:v>
                </c:pt>
                <c:pt idx="16">
                  <c:v>0.69230769230769185</c:v>
                </c:pt>
                <c:pt idx="17">
                  <c:v>0.61363636363636309</c:v>
                </c:pt>
                <c:pt idx="18">
                  <c:v>0.49999999999999906</c:v>
                </c:pt>
                <c:pt idx="19">
                  <c:v>0.40384615384615391</c:v>
                </c:pt>
                <c:pt idx="20">
                  <c:v>8.9285714285714298E-3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F7-459F-B6D6-31AD35A188B9}"/>
            </c:ext>
          </c:extLst>
        </c:ser>
        <c:ser>
          <c:idx val="1"/>
          <c:order val="1"/>
          <c:tx>
            <c:strRef>
              <c:f>'ForageMode (2)'!$D$98</c:f>
              <c:strCache>
                <c:ptCount val="1"/>
                <c:pt idx="0">
                  <c:v>predation effect on fitness</c:v>
                </c:pt>
              </c:strCache>
            </c:strRef>
          </c:tx>
          <c:spPr>
            <a:ln w="3175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'ForageMode (2)'!$B$131:$B$151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7.0000000000000007E-2</c:v>
                </c:pt>
                <c:pt idx="20">
                  <c:v>1E-3</c:v>
                </c:pt>
              </c:numCache>
            </c:numRef>
          </c:xVal>
          <c:yVal>
            <c:numRef>
              <c:f>'ForageMode (2)'!$D$131:$D$151</c:f>
              <c:numCache>
                <c:formatCode>General</c:formatCode>
                <c:ptCount val="21"/>
                <c:pt idx="0">
                  <c:v>0.45</c:v>
                </c:pt>
                <c:pt idx="1">
                  <c:v>0.42838723720484478</c:v>
                </c:pt>
                <c:pt idx="2">
                  <c:v>0.40682282100726314</c:v>
                </c:pt>
                <c:pt idx="3">
                  <c:v>0.38531486874622817</c:v>
                </c:pt>
                <c:pt idx="4">
                  <c:v>0.36387339302818789</c:v>
                </c:pt>
                <c:pt idx="5">
                  <c:v>0.34251087854705703</c:v>
                </c:pt>
                <c:pt idx="6">
                  <c:v>0.32124307834506766</c:v>
                </c:pt>
                <c:pt idx="7">
                  <c:v>0.30009013069153317</c:v>
                </c:pt>
                <c:pt idx="8">
                  <c:v>0.27907815282571885</c:v>
                </c:pt>
                <c:pt idx="9">
                  <c:v>0.25824155731229015</c:v>
                </c:pt>
                <c:pt idx="10">
                  <c:v>0.23762648453791102</c:v>
                </c:pt>
                <c:pt idx="11">
                  <c:v>0.21729599185655268</c:v>
                </c:pt>
                <c:pt idx="12">
                  <c:v>0.19733805434408141</c:v>
                </c:pt>
                <c:pt idx="13">
                  <c:v>0.17787811838447121</c:v>
                </c:pt>
                <c:pt idx="14">
                  <c:v>0.15909902576697305</c:v>
                </c:pt>
                <c:pt idx="15">
                  <c:v>0.14127254755368313</c:v>
                </c:pt>
                <c:pt idx="16">
                  <c:v>0.12480754415067646</c:v>
                </c:pt>
                <c:pt idx="17">
                  <c:v>0.11031532601522845</c:v>
                </c:pt>
                <c:pt idx="18">
                  <c:v>9.8669027172040721E-2</c:v>
                </c:pt>
                <c:pt idx="19">
                  <c:v>9.0968348257046971E-2</c:v>
                </c:pt>
                <c:pt idx="20">
                  <c:v>8.8253363958548353E-2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F7-459F-B6D6-31AD35A188B9}"/>
            </c:ext>
          </c:extLst>
        </c:ser>
        <c:ser>
          <c:idx val="2"/>
          <c:order val="2"/>
          <c:tx>
            <c:strRef>
              <c:f>'ForageMode (2)'!$E$98</c:f>
              <c:strCache>
                <c:ptCount val="1"/>
                <c:pt idx="0">
                  <c:v>fitness-w/pred</c:v>
                </c:pt>
              </c:strCache>
            </c:strRef>
          </c:tx>
          <c:spPr>
            <a:ln w="31750">
              <a:solidFill>
                <a:srgbClr val="009A46"/>
              </a:solidFill>
              <a:prstDash val="solid"/>
            </a:ln>
          </c:spPr>
          <c:marker>
            <c:symbol val="none"/>
          </c:marker>
          <c:xVal>
            <c:numRef>
              <c:f>'ForageMode (2)'!$B$131:$B$151</c:f>
              <c:numCache>
                <c:formatCode>General</c:formatCode>
                <c:ptCount val="21"/>
                <c:pt idx="0">
                  <c:v>1</c:v>
                </c:pt>
                <c:pt idx="1">
                  <c:v>0.95</c:v>
                </c:pt>
                <c:pt idx="2">
                  <c:v>0.89999999999999991</c:v>
                </c:pt>
                <c:pt idx="3">
                  <c:v>0.84999999999999987</c:v>
                </c:pt>
                <c:pt idx="4">
                  <c:v>0.79999999999999982</c:v>
                </c:pt>
                <c:pt idx="5">
                  <c:v>0.74999999999999978</c:v>
                </c:pt>
                <c:pt idx="6">
                  <c:v>0.69999999999999973</c:v>
                </c:pt>
                <c:pt idx="7">
                  <c:v>0.64999999999999969</c:v>
                </c:pt>
                <c:pt idx="8">
                  <c:v>0.59999999999999964</c:v>
                </c:pt>
                <c:pt idx="9">
                  <c:v>0.5499999999999996</c:v>
                </c:pt>
                <c:pt idx="10">
                  <c:v>0.49999999999999961</c:v>
                </c:pt>
                <c:pt idx="11">
                  <c:v>0.44999999999999962</c:v>
                </c:pt>
                <c:pt idx="12">
                  <c:v>0.39999999999999963</c:v>
                </c:pt>
                <c:pt idx="13">
                  <c:v>0.34999999999999964</c:v>
                </c:pt>
                <c:pt idx="14">
                  <c:v>0.29999999999999966</c:v>
                </c:pt>
                <c:pt idx="15">
                  <c:v>0.24999999999999967</c:v>
                </c:pt>
                <c:pt idx="16">
                  <c:v>0.19999999999999968</c:v>
                </c:pt>
                <c:pt idx="17">
                  <c:v>0.14999999999999969</c:v>
                </c:pt>
                <c:pt idx="18">
                  <c:v>9.9999999999999686E-2</c:v>
                </c:pt>
                <c:pt idx="19">
                  <c:v>7.0000000000000007E-2</c:v>
                </c:pt>
                <c:pt idx="20">
                  <c:v>1E-3</c:v>
                </c:pt>
              </c:numCache>
            </c:numRef>
          </c:xVal>
          <c:yVal>
            <c:numRef>
              <c:f>'ForageMode (2)'!$E$131:$E$151</c:f>
              <c:numCache>
                <c:formatCode>General</c:formatCode>
                <c:ptCount val="21"/>
                <c:pt idx="0">
                  <c:v>0.55000000000000004</c:v>
                </c:pt>
                <c:pt idx="1">
                  <c:v>0.56579880930678295</c:v>
                </c:pt>
                <c:pt idx="2">
                  <c:v>0.5809820570415174</c:v>
                </c:pt>
                <c:pt idx="3">
                  <c:v>0.59545436202300261</c:v>
                </c:pt>
                <c:pt idx="4">
                  <c:v>0.60909957994478503</c:v>
                </c:pt>
                <c:pt idx="5">
                  <c:v>0.62177483573865722</c:v>
                </c:pt>
                <c:pt idx="6">
                  <c:v>0.63330237620038687</c:v>
                </c:pt>
                <c:pt idx="7">
                  <c:v>0.6434582564052409</c:v>
                </c:pt>
                <c:pt idx="8">
                  <c:v>0.65195632993290165</c:v>
                </c:pt>
                <c:pt idx="9">
                  <c:v>0.65842510935437648</c:v>
                </c:pt>
                <c:pt idx="10">
                  <c:v>0.66237351546208889</c:v>
                </c:pt>
                <c:pt idx="11">
                  <c:v>0.66313879075214277</c:v>
                </c:pt>
                <c:pt idx="12">
                  <c:v>0.65980480279877551</c:v>
                </c:pt>
                <c:pt idx="13">
                  <c:v>0.65106925003658123</c:v>
                </c:pt>
                <c:pt idx="14">
                  <c:v>0.63501862129185027</c:v>
                </c:pt>
                <c:pt idx="15">
                  <c:v>0.60872745244631654</c:v>
                </c:pt>
                <c:pt idx="16">
                  <c:v>0.56750014815701544</c:v>
                </c:pt>
                <c:pt idx="17">
                  <c:v>0.50332103762113467</c:v>
                </c:pt>
                <c:pt idx="18">
                  <c:v>0.40133097282795832</c:v>
                </c:pt>
                <c:pt idx="19">
                  <c:v>0.31287780558910694</c:v>
                </c:pt>
                <c:pt idx="20">
                  <c:v>-7.9324792529976929E-2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F7-459F-B6D6-31AD35A18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984576"/>
        <c:axId val="1"/>
      </c:scatterChart>
      <c:valAx>
        <c:axId val="530984576"/>
        <c:scaling>
          <c:orientation val="maxMin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  <c:max val="1.05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158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noFill/>
                <a:latin typeface="Arial"/>
                <a:ea typeface="Arial"/>
                <a:cs typeface="Arial"/>
              </a:defRPr>
            </a:pPr>
            <a:endParaRPr lang="en-US"/>
          </a:p>
        </c:txPr>
        <c:crossAx val="530984576"/>
        <c:crossesAt val="1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'by pred density'!$B$18</c:f>
              <c:strCache>
                <c:ptCount val="1"/>
                <c:pt idx="0">
                  <c:v>Trait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'by pred density'!$A$19:$A$29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0.13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0.6</c:v>
                </c:pt>
                <c:pt idx="7">
                  <c:v>1</c:v>
                </c:pt>
                <c:pt idx="8">
                  <c:v>1.5</c:v>
                </c:pt>
                <c:pt idx="9">
                  <c:v>2</c:v>
                </c:pt>
                <c:pt idx="10">
                  <c:v>2.4</c:v>
                </c:pt>
              </c:numCache>
            </c:numRef>
          </c:xVal>
          <c:yVal>
            <c:numRef>
              <c:f>'by pred density'!$B$19:$B$29</c:f>
              <c:numCache>
                <c:formatCode>0.00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0.25000000000000022</c:v>
                </c:pt>
                <c:pt idx="4">
                  <c:v>0.40000000000000036</c:v>
                </c:pt>
                <c:pt idx="5">
                  <c:v>0.50000000000000044</c:v>
                </c:pt>
                <c:pt idx="6">
                  <c:v>0.60000000000000031</c:v>
                </c:pt>
                <c:pt idx="7">
                  <c:v>0.7000000000000004</c:v>
                </c:pt>
                <c:pt idx="8">
                  <c:v>0.75000000000000033</c:v>
                </c:pt>
                <c:pt idx="9">
                  <c:v>0.79899999999999993</c:v>
                </c:pt>
                <c:pt idx="10">
                  <c:v>0.79899999999999993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39-4388-8752-EF83AA6D1C3C}"/>
            </c:ext>
          </c:extLst>
        </c:ser>
        <c:ser>
          <c:idx val="1"/>
          <c:order val="1"/>
          <c:tx>
            <c:strRef>
              <c:f>'by pred density'!$A$50</c:f>
              <c:strCache>
                <c:ptCount val="1"/>
                <c:pt idx="0">
                  <c:v>B</c:v>
                </c:pt>
              </c:strCache>
            </c:strRef>
          </c:tx>
          <c:spPr>
            <a:ln w="31750" cap="rnd">
              <a:solidFill>
                <a:schemeClr val="accent6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'by pred density'!$A$59:$A$66</c:f>
              <c:numCache>
                <c:formatCode>General</c:formatCode>
                <c:ptCount val="8"/>
                <c:pt idx="0">
                  <c:v>0</c:v>
                </c:pt>
                <c:pt idx="1">
                  <c:v>0.2</c:v>
                </c:pt>
                <c:pt idx="2">
                  <c:v>0.23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0.7</c:v>
                </c:pt>
                <c:pt idx="7">
                  <c:v>1.1000000000000001</c:v>
                </c:pt>
              </c:numCache>
            </c:numRef>
          </c:xVal>
          <c:yVal>
            <c:numRef>
              <c:f>'by pred density'!$G$59:$G$66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1.2195121951219523E-2</c:v>
                </c:pt>
                <c:pt idx="4">
                  <c:v>2.7027027027027084E-2</c:v>
                </c:pt>
                <c:pt idx="5">
                  <c:v>4.5454545454545525E-2</c:v>
                </c:pt>
                <c:pt idx="6">
                  <c:v>6.8965517241379448E-2</c:v>
                </c:pt>
                <c:pt idx="7">
                  <c:v>0.10000000000000009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39-4388-8752-EF83AA6D1C3C}"/>
            </c:ext>
          </c:extLst>
        </c:ser>
        <c:ser>
          <c:idx val="2"/>
          <c:order val="2"/>
          <c:tx>
            <c:strRef>
              <c:f>'by pred density'!$A$33</c:f>
              <c:strCache>
                <c:ptCount val="1"/>
                <c:pt idx="0">
                  <c:v>C</c:v>
                </c:pt>
              </c:strCache>
            </c:strRef>
          </c:tx>
          <c:spPr>
            <a:ln w="50800" cap="rnd">
              <a:solidFill>
                <a:schemeClr val="accent3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'by pred density'!$A$42:$A$48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0.6</c:v>
                </c:pt>
                <c:pt idx="3">
                  <c:v>0.7</c:v>
                </c:pt>
                <c:pt idx="4">
                  <c:v>0.8</c:v>
                </c:pt>
                <c:pt idx="5">
                  <c:v>0.9</c:v>
                </c:pt>
                <c:pt idx="6">
                  <c:v>1</c:v>
                </c:pt>
              </c:numCache>
            </c:numRef>
          </c:xVal>
          <c:yVal>
            <c:numRef>
              <c:f>'by pred density'!$G$42:$G$48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8.1081081081081141E-2</c:v>
                </c:pt>
                <c:pt idx="3">
                  <c:v>0.14285714285714302</c:v>
                </c:pt>
                <c:pt idx="4">
                  <c:v>0.21212121212121238</c:v>
                </c:pt>
                <c:pt idx="5">
                  <c:v>0.29032258064516159</c:v>
                </c:pt>
                <c:pt idx="6">
                  <c:v>0.3333333333333337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39-4388-8752-EF83AA6D1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690408"/>
        <c:axId val="643688112"/>
      </c:scatterChart>
      <c:valAx>
        <c:axId val="643690408"/>
        <c:scaling>
          <c:orientation val="minMax"/>
          <c:max val="1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688112"/>
        <c:crosses val="autoZero"/>
        <c:crossBetween val="midCat"/>
      </c:valAx>
      <c:valAx>
        <c:axId val="64368811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690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'by pred density'!$G$18</c:f>
              <c:strCache>
                <c:ptCount val="1"/>
                <c:pt idx="0">
                  <c:v>NCE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'by pred density'!$A$19:$A$29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0.13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0.6</c:v>
                </c:pt>
                <c:pt idx="7">
                  <c:v>1</c:v>
                </c:pt>
                <c:pt idx="8">
                  <c:v>1.5</c:v>
                </c:pt>
                <c:pt idx="9">
                  <c:v>2</c:v>
                </c:pt>
                <c:pt idx="10">
                  <c:v>2.4</c:v>
                </c:pt>
              </c:numCache>
            </c:numRef>
          </c:xVal>
          <c:yVal>
            <c:numRef>
              <c:f>'by pred density'!$G$19:$G$29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5.8139534883719923E-3</c:v>
                </c:pt>
                <c:pt idx="3">
                  <c:v>3.5714285714285698E-2</c:v>
                </c:pt>
                <c:pt idx="4">
                  <c:v>6.8965517241379448E-2</c:v>
                </c:pt>
                <c:pt idx="5">
                  <c:v>0.10000000000000009</c:v>
                </c:pt>
                <c:pt idx="6">
                  <c:v>0.14285714285714313</c:v>
                </c:pt>
                <c:pt idx="7">
                  <c:v>0.20588235294117674</c:v>
                </c:pt>
                <c:pt idx="8">
                  <c:v>0.25000000000000033</c:v>
                </c:pt>
                <c:pt idx="9">
                  <c:v>0.30636503067484655</c:v>
                </c:pt>
                <c:pt idx="10">
                  <c:v>0.30636503067484655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39-4388-8752-EF83AA6D1C3C}"/>
            </c:ext>
          </c:extLst>
        </c:ser>
        <c:ser>
          <c:idx val="1"/>
          <c:order val="1"/>
          <c:tx>
            <c:strRef>
              <c:f>'by pred density'!$A$50</c:f>
              <c:strCache>
                <c:ptCount val="1"/>
                <c:pt idx="0">
                  <c:v>B</c:v>
                </c:pt>
              </c:strCache>
            </c:strRef>
          </c:tx>
          <c:spPr>
            <a:ln w="31750" cap="rnd">
              <a:solidFill>
                <a:schemeClr val="accent6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'by pred density'!$A$59:$A$66</c:f>
              <c:numCache>
                <c:formatCode>General</c:formatCode>
                <c:ptCount val="8"/>
                <c:pt idx="0">
                  <c:v>0</c:v>
                </c:pt>
                <c:pt idx="1">
                  <c:v>0.2</c:v>
                </c:pt>
                <c:pt idx="2">
                  <c:v>0.23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0.7</c:v>
                </c:pt>
                <c:pt idx="7">
                  <c:v>1.1000000000000001</c:v>
                </c:pt>
              </c:numCache>
            </c:numRef>
          </c:xVal>
          <c:yVal>
            <c:numRef>
              <c:f>'by pred density'!$B$59:$B$66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0.10000000000000009</c:v>
                </c:pt>
                <c:pt idx="4">
                  <c:v>0.20000000000000018</c:v>
                </c:pt>
                <c:pt idx="5">
                  <c:v>0.30000000000000027</c:v>
                </c:pt>
                <c:pt idx="6">
                  <c:v>0.40000000000000036</c:v>
                </c:pt>
                <c:pt idx="7">
                  <c:v>0.50000000000000044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39-4388-8752-EF83AA6D1C3C}"/>
            </c:ext>
          </c:extLst>
        </c:ser>
        <c:ser>
          <c:idx val="2"/>
          <c:order val="2"/>
          <c:tx>
            <c:strRef>
              <c:f>'by pred density'!$A$33</c:f>
              <c:strCache>
                <c:ptCount val="1"/>
                <c:pt idx="0">
                  <c:v>C</c:v>
                </c:pt>
              </c:strCache>
            </c:strRef>
          </c:tx>
          <c:spPr>
            <a:ln w="50800" cap="rnd">
              <a:solidFill>
                <a:schemeClr val="accent3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'by pred density'!$A$42:$A$48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0.6</c:v>
                </c:pt>
                <c:pt idx="3">
                  <c:v>0.7</c:v>
                </c:pt>
                <c:pt idx="4">
                  <c:v>0.8</c:v>
                </c:pt>
                <c:pt idx="5">
                  <c:v>0.9</c:v>
                </c:pt>
                <c:pt idx="6">
                  <c:v>1</c:v>
                </c:pt>
              </c:numCache>
            </c:numRef>
          </c:xVal>
          <c:yVal>
            <c:numRef>
              <c:f>'by pred density'!$B$42:$B$48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0.15000000000000013</c:v>
                </c:pt>
                <c:pt idx="3">
                  <c:v>0.25000000000000022</c:v>
                </c:pt>
                <c:pt idx="4">
                  <c:v>0.35000000000000031</c:v>
                </c:pt>
                <c:pt idx="5">
                  <c:v>0.4500000000000004</c:v>
                </c:pt>
                <c:pt idx="6">
                  <c:v>0.50000000000000044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39-4388-8752-EF83AA6D1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690408"/>
        <c:axId val="643688112"/>
      </c:scatterChart>
      <c:valAx>
        <c:axId val="643690408"/>
        <c:scaling>
          <c:orientation val="minMax"/>
          <c:max val="1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688112"/>
        <c:crosses val="autoZero"/>
        <c:crossBetween val="midCat"/>
      </c:valAx>
      <c:valAx>
        <c:axId val="64368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690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'by pred density'!$E$18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'by pred density'!$A$19:$A$29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0.13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0.6</c:v>
                </c:pt>
                <c:pt idx="7">
                  <c:v>1</c:v>
                </c:pt>
                <c:pt idx="8">
                  <c:v>1.5</c:v>
                </c:pt>
                <c:pt idx="9">
                  <c:v>2</c:v>
                </c:pt>
                <c:pt idx="10">
                  <c:v>2.4</c:v>
                </c:pt>
              </c:numCache>
            </c:numRef>
          </c:xVal>
          <c:yVal>
            <c:numRef>
              <c:f>'by pred density'!$E$19:$E$29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0.123756312970288</c:v>
                </c:pt>
                <c:pt idx="3">
                  <c:v>0.15222705713202533</c:v>
                </c:pt>
                <c:pt idx="4">
                  <c:v>0.18605210188381255</c:v>
                </c:pt>
                <c:pt idx="5">
                  <c:v>0.21122354181147646</c:v>
                </c:pt>
                <c:pt idx="6">
                  <c:v>0.26311740579210852</c:v>
                </c:pt>
                <c:pt idx="7">
                  <c:v>0.3535533905932734</c:v>
                </c:pt>
                <c:pt idx="8">
                  <c:v>0.47090849184561034</c:v>
                </c:pt>
                <c:pt idx="9">
                  <c:v>0.55608867582842869</c:v>
                </c:pt>
                <c:pt idx="10">
                  <c:v>0.66730641099411436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39-4388-8752-EF83AA6D1C3C}"/>
            </c:ext>
          </c:extLst>
        </c:ser>
        <c:ser>
          <c:idx val="1"/>
          <c:order val="1"/>
          <c:tx>
            <c:strRef>
              <c:f>'by pred density'!$A$50</c:f>
              <c:strCache>
                <c:ptCount val="1"/>
                <c:pt idx="0">
                  <c:v>B</c:v>
                </c:pt>
              </c:strCache>
            </c:strRef>
          </c:tx>
          <c:spPr>
            <a:ln w="31750" cap="rnd">
              <a:solidFill>
                <a:schemeClr val="accent6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'by pred density'!$A$59:$A$66</c:f>
              <c:numCache>
                <c:formatCode>General</c:formatCode>
                <c:ptCount val="8"/>
                <c:pt idx="0">
                  <c:v>0</c:v>
                </c:pt>
                <c:pt idx="1">
                  <c:v>0.2</c:v>
                </c:pt>
                <c:pt idx="2">
                  <c:v>0.23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0.7</c:v>
                </c:pt>
                <c:pt idx="7">
                  <c:v>1.1000000000000001</c:v>
                </c:pt>
              </c:numCache>
            </c:numRef>
          </c:xVal>
          <c:yVal>
            <c:numRef>
              <c:f>'by pred density'!$E$59:$E$66</c:f>
              <c:numCache>
                <c:formatCode>General</c:formatCode>
                <c:ptCount val="8"/>
                <c:pt idx="0">
                  <c:v>0</c:v>
                </c:pt>
                <c:pt idx="1">
                  <c:v>0.19999999999999998</c:v>
                </c:pt>
                <c:pt idx="2">
                  <c:v>0.22999999999999995</c:v>
                </c:pt>
                <c:pt idx="3">
                  <c:v>0.28539446385660661</c:v>
                </c:pt>
                <c:pt idx="4">
                  <c:v>0.36221540552549658</c:v>
                </c:pt>
                <c:pt idx="5">
                  <c:v>0.43156691254080154</c:v>
                </c:pt>
                <c:pt idx="6">
                  <c:v>0.57723478758647229</c:v>
                </c:pt>
                <c:pt idx="7">
                  <c:v>0.86962635654630405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39-4388-8752-EF83AA6D1C3C}"/>
            </c:ext>
          </c:extLst>
        </c:ser>
        <c:ser>
          <c:idx val="2"/>
          <c:order val="2"/>
          <c:tx>
            <c:strRef>
              <c:f>'by pred density'!$A$33</c:f>
              <c:strCache>
                <c:ptCount val="1"/>
                <c:pt idx="0">
                  <c:v>C</c:v>
                </c:pt>
              </c:strCache>
            </c:strRef>
          </c:tx>
          <c:spPr>
            <a:ln w="50800" cap="rnd">
              <a:solidFill>
                <a:schemeClr val="accent3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'by pred density'!$A$42:$A$48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0.6</c:v>
                </c:pt>
                <c:pt idx="3">
                  <c:v>0.7</c:v>
                </c:pt>
                <c:pt idx="4">
                  <c:v>0.8</c:v>
                </c:pt>
                <c:pt idx="5">
                  <c:v>0.9</c:v>
                </c:pt>
                <c:pt idx="6">
                  <c:v>1</c:v>
                </c:pt>
              </c:numCache>
            </c:numRef>
          </c:xVal>
          <c:yVal>
            <c:numRef>
              <c:f>'by pred density'!$E$42:$E$48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0.51375315832830415</c:v>
                </c:pt>
                <c:pt idx="3">
                  <c:v>0.53279469996208861</c:v>
                </c:pt>
                <c:pt idx="4">
                  <c:v>0.53349356567383677</c:v>
                </c:pt>
                <c:pt idx="5">
                  <c:v>0.5164831146245803</c:v>
                </c:pt>
                <c:pt idx="6">
                  <c:v>0.52805885452869117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39-4388-8752-EF83AA6D1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690408"/>
        <c:axId val="643688112"/>
      </c:scatterChart>
      <c:valAx>
        <c:axId val="643690408"/>
        <c:scaling>
          <c:orientation val="minMax"/>
          <c:max val="1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688112"/>
        <c:crosses val="autoZero"/>
        <c:crossBetween val="midCat"/>
      </c:valAx>
      <c:valAx>
        <c:axId val="64368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690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61727956325804"/>
          <c:y val="2.977270224566118E-2"/>
          <c:w val="0.78115242146297226"/>
          <c:h val="0.917263856438851"/>
        </c:manualLayout>
      </c:layout>
      <c:scatterChart>
        <c:scatterStyle val="lineMarker"/>
        <c:varyColors val="0"/>
        <c:ser>
          <c:idx val="0"/>
          <c:order val="0"/>
          <c:tx>
            <c:strRef>
              <c:f>'by pred density'!$H$18</c:f>
              <c:strCache>
                <c:ptCount val="1"/>
                <c:pt idx="0">
                  <c:v>NCE/(NCE+CE)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'by pred density'!$A$19:$A$29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0.13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0.6</c:v>
                </c:pt>
                <c:pt idx="7">
                  <c:v>1</c:v>
                </c:pt>
                <c:pt idx="8">
                  <c:v>1.5</c:v>
                </c:pt>
                <c:pt idx="9">
                  <c:v>2</c:v>
                </c:pt>
                <c:pt idx="10">
                  <c:v>2.4</c:v>
                </c:pt>
              </c:numCache>
            </c:numRef>
          </c:xVal>
          <c:yVal>
            <c:numRef>
              <c:f>'by pred density'!$H$19:$H$29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4.4871046786239051E-2</c:v>
                </c:pt>
                <c:pt idx="3">
                  <c:v>0.19002889504461529</c:v>
                </c:pt>
                <c:pt idx="4">
                  <c:v>0.27043432323600841</c:v>
                </c:pt>
                <c:pt idx="5">
                  <c:v>0.32131245412204396</c:v>
                </c:pt>
                <c:pt idx="6">
                  <c:v>0.35188694299298773</c:v>
                </c:pt>
                <c:pt idx="7">
                  <c:v>0.36801787393925872</c:v>
                </c:pt>
                <c:pt idx="8">
                  <c:v>0.34678465135009146</c:v>
                </c:pt>
                <c:pt idx="9">
                  <c:v>0.35522489887250908</c:v>
                </c:pt>
                <c:pt idx="10">
                  <c:v>0.31464929293777905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39-4388-8752-EF83AA6D1C3C}"/>
            </c:ext>
          </c:extLst>
        </c:ser>
        <c:ser>
          <c:idx val="1"/>
          <c:order val="1"/>
          <c:tx>
            <c:strRef>
              <c:f>'by pred density'!$A$50</c:f>
              <c:strCache>
                <c:ptCount val="1"/>
                <c:pt idx="0">
                  <c:v>B</c:v>
                </c:pt>
              </c:strCache>
            </c:strRef>
          </c:tx>
          <c:spPr>
            <a:ln w="317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'by pred density'!$A$59:$A$66</c:f>
              <c:numCache>
                <c:formatCode>General</c:formatCode>
                <c:ptCount val="8"/>
                <c:pt idx="0">
                  <c:v>0</c:v>
                </c:pt>
                <c:pt idx="1">
                  <c:v>0.2</c:v>
                </c:pt>
                <c:pt idx="2">
                  <c:v>0.23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0.7</c:v>
                </c:pt>
                <c:pt idx="7">
                  <c:v>1.1000000000000001</c:v>
                </c:pt>
              </c:numCache>
            </c:numRef>
          </c:xVal>
          <c:yVal>
            <c:numRef>
              <c:f>'by pred density'!$H$59:$H$66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4.0979666402354363E-2</c:v>
                </c:pt>
                <c:pt idx="4">
                  <c:v>6.9434945336747447E-2</c:v>
                </c:pt>
                <c:pt idx="5">
                  <c:v>9.5288261550256922E-2</c:v>
                </c:pt>
                <c:pt idx="6">
                  <c:v>0.1067246745724639</c:v>
                </c:pt>
                <c:pt idx="7">
                  <c:v>0.10313251008995714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39-4388-8752-EF83AA6D1C3C}"/>
            </c:ext>
          </c:extLst>
        </c:ser>
        <c:ser>
          <c:idx val="2"/>
          <c:order val="2"/>
          <c:tx>
            <c:strRef>
              <c:f>'by pred density'!$A$33</c:f>
              <c:strCache>
                <c:ptCount val="1"/>
                <c:pt idx="0">
                  <c:v>C</c:v>
                </c:pt>
              </c:strCache>
            </c:strRef>
          </c:tx>
          <c:spPr>
            <a:ln w="50800" cap="rnd">
              <a:solidFill>
                <a:schemeClr val="accent3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'by pred density'!$A$42:$A$48</c:f>
              <c:numCache>
                <c:formatCode>General</c:formatCode>
                <c:ptCount val="7"/>
                <c:pt idx="0">
                  <c:v>0</c:v>
                </c:pt>
                <c:pt idx="1">
                  <c:v>0.5</c:v>
                </c:pt>
                <c:pt idx="2">
                  <c:v>0.6</c:v>
                </c:pt>
                <c:pt idx="3">
                  <c:v>0.7</c:v>
                </c:pt>
                <c:pt idx="4">
                  <c:v>0.8</c:v>
                </c:pt>
                <c:pt idx="5">
                  <c:v>0.9</c:v>
                </c:pt>
                <c:pt idx="6">
                  <c:v>1</c:v>
                </c:pt>
              </c:numCache>
            </c:numRef>
          </c:xVal>
          <c:yVal>
            <c:numRef>
              <c:f>'by pred density'!$H$42:$H$48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0.13630869864113246</c:v>
                </c:pt>
                <c:pt idx="3">
                  <c:v>0.21143602933288227</c:v>
                </c:pt>
                <c:pt idx="4">
                  <c:v>0.28449169522699452</c:v>
                </c:pt>
                <c:pt idx="5">
                  <c:v>0.35984200700033125</c:v>
                </c:pt>
                <c:pt idx="6">
                  <c:v>0.38697046250287798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39-4388-8752-EF83AA6D1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690408"/>
        <c:axId val="643688112"/>
      </c:scatterChart>
      <c:valAx>
        <c:axId val="643690408"/>
        <c:scaling>
          <c:orientation val="minMax"/>
          <c:max val="1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688112"/>
        <c:crosses val="autoZero"/>
        <c:crossBetween val="midCat"/>
        <c:majorUnit val="0.2"/>
      </c:valAx>
      <c:valAx>
        <c:axId val="643688112"/>
        <c:scaling>
          <c:orientation val="minMax"/>
          <c:max val="0.45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690408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4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251460</xdr:colOff>
      <xdr:row>27</xdr:row>
      <xdr:rowOff>0</xdr:rowOff>
    </xdr:from>
    <xdr:to>
      <xdr:col>11</xdr:col>
      <xdr:colOff>533400</xdr:colOff>
      <xdr:row>49</xdr:row>
      <xdr:rowOff>91440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251460</xdr:colOff>
      <xdr:row>61</xdr:row>
      <xdr:rowOff>0</xdr:rowOff>
    </xdr:from>
    <xdr:to>
      <xdr:col>11</xdr:col>
      <xdr:colOff>533400</xdr:colOff>
      <xdr:row>83</xdr:row>
      <xdr:rowOff>91440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182880</xdr:colOff>
      <xdr:row>161</xdr:row>
      <xdr:rowOff>68580</xdr:rowOff>
    </xdr:from>
    <xdr:to>
      <xdr:col>27</xdr:col>
      <xdr:colOff>464820</xdr:colOff>
      <xdr:row>183</xdr:row>
      <xdr:rowOff>160020</xdr:rowOff>
    </xdr:to>
    <xdr:graphicFrame macro="">
      <xdr:nvGraphicFramePr>
        <xdr:cNvPr id="5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182880</xdr:colOff>
      <xdr:row>161</xdr:row>
      <xdr:rowOff>68580</xdr:rowOff>
    </xdr:from>
    <xdr:to>
      <xdr:col>41</xdr:col>
      <xdr:colOff>464820</xdr:colOff>
      <xdr:row>183</xdr:row>
      <xdr:rowOff>160020</xdr:rowOff>
    </xdr:to>
    <xdr:graphicFrame macro="">
      <xdr:nvGraphicFramePr>
        <xdr:cNvPr id="7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182880</xdr:colOff>
      <xdr:row>96</xdr:row>
      <xdr:rowOff>68580</xdr:rowOff>
    </xdr:from>
    <xdr:to>
      <xdr:col>12</xdr:col>
      <xdr:colOff>558800</xdr:colOff>
      <xdr:row>113</xdr:row>
      <xdr:rowOff>71120</xdr:rowOff>
    </xdr:to>
    <xdr:graphicFrame macro="">
      <xdr:nvGraphicFramePr>
        <xdr:cNvPr id="8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182880</xdr:colOff>
      <xdr:row>161</xdr:row>
      <xdr:rowOff>68580</xdr:rowOff>
    </xdr:from>
    <xdr:to>
      <xdr:col>13</xdr:col>
      <xdr:colOff>464820</xdr:colOff>
      <xdr:row>183</xdr:row>
      <xdr:rowOff>160020</xdr:rowOff>
    </xdr:to>
    <xdr:graphicFrame macro="">
      <xdr:nvGraphicFramePr>
        <xdr:cNvPr id="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50</xdr:col>
      <xdr:colOff>182880</xdr:colOff>
      <xdr:row>161</xdr:row>
      <xdr:rowOff>68580</xdr:rowOff>
    </xdr:from>
    <xdr:to>
      <xdr:col>55</xdr:col>
      <xdr:colOff>464820</xdr:colOff>
      <xdr:row>183</xdr:row>
      <xdr:rowOff>160020</xdr:rowOff>
    </xdr:to>
    <xdr:graphicFrame macro="">
      <xdr:nvGraphicFramePr>
        <xdr:cNvPr id="11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182880</xdr:colOff>
      <xdr:row>128</xdr:row>
      <xdr:rowOff>68580</xdr:rowOff>
    </xdr:from>
    <xdr:to>
      <xdr:col>26</xdr:col>
      <xdr:colOff>558800</xdr:colOff>
      <xdr:row>145</xdr:row>
      <xdr:rowOff>71120</xdr:rowOff>
    </xdr:to>
    <xdr:graphicFrame macro="">
      <xdr:nvGraphicFramePr>
        <xdr:cNvPr id="12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182880</xdr:colOff>
      <xdr:row>128</xdr:row>
      <xdr:rowOff>68580</xdr:rowOff>
    </xdr:from>
    <xdr:to>
      <xdr:col>40</xdr:col>
      <xdr:colOff>558800</xdr:colOff>
      <xdr:row>145</xdr:row>
      <xdr:rowOff>71120</xdr:rowOff>
    </xdr:to>
    <xdr:graphicFrame macro="">
      <xdr:nvGraphicFramePr>
        <xdr:cNvPr id="13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204967</xdr:colOff>
      <xdr:row>135</xdr:row>
      <xdr:rowOff>35450</xdr:rowOff>
    </xdr:from>
    <xdr:to>
      <xdr:col>15</xdr:col>
      <xdr:colOff>150192</xdr:colOff>
      <xdr:row>152</xdr:row>
      <xdr:rowOff>37990</xdr:rowOff>
    </xdr:to>
    <xdr:graphicFrame macro="">
      <xdr:nvGraphicFramePr>
        <xdr:cNvPr id="14" name="Chart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50</xdr:col>
      <xdr:colOff>182880</xdr:colOff>
      <xdr:row>128</xdr:row>
      <xdr:rowOff>68580</xdr:rowOff>
    </xdr:from>
    <xdr:to>
      <xdr:col>54</xdr:col>
      <xdr:colOff>558800</xdr:colOff>
      <xdr:row>145</xdr:row>
      <xdr:rowOff>71120</xdr:rowOff>
    </xdr:to>
    <xdr:graphicFrame macro="">
      <xdr:nvGraphicFramePr>
        <xdr:cNvPr id="15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182880</xdr:colOff>
      <xdr:row>120</xdr:row>
      <xdr:rowOff>0</xdr:rowOff>
    </xdr:from>
    <xdr:to>
      <xdr:col>27</xdr:col>
      <xdr:colOff>464820</xdr:colOff>
      <xdr:row>120</xdr:row>
      <xdr:rowOff>0</xdr:rowOff>
    </xdr:to>
    <xdr:graphicFrame macro="">
      <xdr:nvGraphicFramePr>
        <xdr:cNvPr id="16" name="Chart 3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36</xdr:col>
      <xdr:colOff>182880</xdr:colOff>
      <xdr:row>120</xdr:row>
      <xdr:rowOff>0</xdr:rowOff>
    </xdr:from>
    <xdr:to>
      <xdr:col>41</xdr:col>
      <xdr:colOff>464820</xdr:colOff>
      <xdr:row>120</xdr:row>
      <xdr:rowOff>0</xdr:rowOff>
    </xdr:to>
    <xdr:graphicFrame macro="">
      <xdr:nvGraphicFramePr>
        <xdr:cNvPr id="17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182880</xdr:colOff>
      <xdr:row>120</xdr:row>
      <xdr:rowOff>0</xdr:rowOff>
    </xdr:from>
    <xdr:to>
      <xdr:col>13</xdr:col>
      <xdr:colOff>464820</xdr:colOff>
      <xdr:row>120</xdr:row>
      <xdr:rowOff>0</xdr:rowOff>
    </xdr:to>
    <xdr:graphicFrame macro="">
      <xdr:nvGraphicFramePr>
        <xdr:cNvPr id="18" name="Chart 3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50</xdr:col>
      <xdr:colOff>182880</xdr:colOff>
      <xdr:row>120</xdr:row>
      <xdr:rowOff>0</xdr:rowOff>
    </xdr:from>
    <xdr:to>
      <xdr:col>55</xdr:col>
      <xdr:colOff>464820</xdr:colOff>
      <xdr:row>120</xdr:row>
      <xdr:rowOff>0</xdr:rowOff>
    </xdr:to>
    <xdr:graphicFrame macro="">
      <xdr:nvGraphicFramePr>
        <xdr:cNvPr id="19" name="Chart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91440</xdr:colOff>
      <xdr:row>95</xdr:row>
      <xdr:rowOff>27940</xdr:rowOff>
    </xdr:from>
    <xdr:to>
      <xdr:col>12</xdr:col>
      <xdr:colOff>467360</xdr:colOff>
      <xdr:row>112</xdr:row>
      <xdr:rowOff>30480</xdr:rowOff>
    </xdr:to>
    <xdr:graphicFrame macro="">
      <xdr:nvGraphicFramePr>
        <xdr:cNvPr id="2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243840</xdr:colOff>
      <xdr:row>96</xdr:row>
      <xdr:rowOff>7620</xdr:rowOff>
    </xdr:from>
    <xdr:to>
      <xdr:col>13</xdr:col>
      <xdr:colOff>10160</xdr:colOff>
      <xdr:row>113</xdr:row>
      <xdr:rowOff>10160</xdr:rowOff>
    </xdr:to>
    <xdr:graphicFrame macro="">
      <xdr:nvGraphicFramePr>
        <xdr:cNvPr id="25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532417</xdr:colOff>
      <xdr:row>102</xdr:row>
      <xdr:rowOff>65859</xdr:rowOff>
    </xdr:from>
    <xdr:to>
      <xdr:col>13</xdr:col>
      <xdr:colOff>300946</xdr:colOff>
      <xdr:row>119</xdr:row>
      <xdr:rowOff>68400</xdr:rowOff>
    </xdr:to>
    <xdr:graphicFrame macro="">
      <xdr:nvGraphicFramePr>
        <xdr:cNvPr id="26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36</xdr:col>
      <xdr:colOff>254000</xdr:colOff>
      <xdr:row>96</xdr:row>
      <xdr:rowOff>109220</xdr:rowOff>
    </xdr:from>
    <xdr:to>
      <xdr:col>41</xdr:col>
      <xdr:colOff>20320</xdr:colOff>
      <xdr:row>113</xdr:row>
      <xdr:rowOff>111760</xdr:rowOff>
    </xdr:to>
    <xdr:graphicFrame macro="">
      <xdr:nvGraphicFramePr>
        <xdr:cNvPr id="29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35</xdr:col>
      <xdr:colOff>210509</xdr:colOff>
      <xdr:row>102</xdr:row>
      <xdr:rowOff>59223</xdr:rowOff>
    </xdr:from>
    <xdr:to>
      <xdr:col>40</xdr:col>
      <xdr:colOff>333915</xdr:colOff>
      <xdr:row>119</xdr:row>
      <xdr:rowOff>61764</xdr:rowOff>
    </xdr:to>
    <xdr:graphicFrame macro="">
      <xdr:nvGraphicFramePr>
        <xdr:cNvPr id="3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22</xdr:col>
      <xdr:colOff>101600</xdr:colOff>
      <xdr:row>98</xdr:row>
      <xdr:rowOff>38100</xdr:rowOff>
    </xdr:from>
    <xdr:to>
      <xdr:col>26</xdr:col>
      <xdr:colOff>477520</xdr:colOff>
      <xdr:row>114</xdr:row>
      <xdr:rowOff>78027</xdr:rowOff>
    </xdr:to>
    <xdr:graphicFrame macro="">
      <xdr:nvGraphicFramePr>
        <xdr:cNvPr id="31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22</xdr:col>
      <xdr:colOff>568037</xdr:colOff>
      <xdr:row>103</xdr:row>
      <xdr:rowOff>64886</xdr:rowOff>
    </xdr:from>
    <xdr:to>
      <xdr:col>27</xdr:col>
      <xdr:colOff>340823</xdr:colOff>
      <xdr:row>120</xdr:row>
      <xdr:rowOff>67427</xdr:rowOff>
    </xdr:to>
    <xdr:graphicFrame macro="">
      <xdr:nvGraphicFramePr>
        <xdr:cNvPr id="34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54</xdr:col>
      <xdr:colOff>475071</xdr:colOff>
      <xdr:row>98</xdr:row>
      <xdr:rowOff>164236</xdr:rowOff>
    </xdr:from>
    <xdr:to>
      <xdr:col>59</xdr:col>
      <xdr:colOff>241390</xdr:colOff>
      <xdr:row>116</xdr:row>
      <xdr:rowOff>1123</xdr:rowOff>
    </xdr:to>
    <xdr:graphicFrame macro="">
      <xdr:nvGraphicFramePr>
        <xdr:cNvPr id="36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55</xdr:col>
      <xdr:colOff>267852</xdr:colOff>
      <xdr:row>124</xdr:row>
      <xdr:rowOff>39947</xdr:rowOff>
    </xdr:from>
    <xdr:to>
      <xdr:col>60</xdr:col>
      <xdr:colOff>34172</xdr:colOff>
      <xdr:row>141</xdr:row>
      <xdr:rowOff>42488</xdr:rowOff>
    </xdr:to>
    <xdr:graphicFrame macro="">
      <xdr:nvGraphicFramePr>
        <xdr:cNvPr id="3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22</xdr:col>
      <xdr:colOff>315040</xdr:colOff>
      <xdr:row>171</xdr:row>
      <xdr:rowOff>84563</xdr:rowOff>
    </xdr:from>
    <xdr:to>
      <xdr:col>27</xdr:col>
      <xdr:colOff>121478</xdr:colOff>
      <xdr:row>187</xdr:row>
      <xdr:rowOff>123888</xdr:rowOff>
    </xdr:to>
    <xdr:graphicFrame macro="">
      <xdr:nvGraphicFramePr>
        <xdr:cNvPr id="4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50</xdr:col>
      <xdr:colOff>226290</xdr:colOff>
      <xdr:row>99</xdr:row>
      <xdr:rowOff>39947</xdr:rowOff>
    </xdr:from>
    <xdr:to>
      <xdr:col>54</xdr:col>
      <xdr:colOff>602210</xdr:colOff>
      <xdr:row>115</xdr:row>
      <xdr:rowOff>79874</xdr:rowOff>
    </xdr:to>
    <xdr:graphicFrame macro="">
      <xdr:nvGraphicFramePr>
        <xdr:cNvPr id="42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22</xdr:col>
      <xdr:colOff>304800</xdr:colOff>
      <xdr:row>154</xdr:row>
      <xdr:rowOff>134159</xdr:rowOff>
    </xdr:from>
    <xdr:to>
      <xdr:col>26</xdr:col>
      <xdr:colOff>566400</xdr:colOff>
      <xdr:row>171</xdr:row>
      <xdr:rowOff>7832</xdr:rowOff>
    </xdr:to>
    <xdr:graphicFrame macro="">
      <xdr:nvGraphicFramePr>
        <xdr:cNvPr id="45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8</xdr:col>
      <xdr:colOff>254121</xdr:colOff>
      <xdr:row>135</xdr:row>
      <xdr:rowOff>19476</xdr:rowOff>
    </xdr:from>
    <xdr:to>
      <xdr:col>13</xdr:col>
      <xdr:colOff>22650</xdr:colOff>
      <xdr:row>152</xdr:row>
      <xdr:rowOff>22017</xdr:rowOff>
    </xdr:to>
    <xdr:graphicFrame macro="">
      <xdr:nvGraphicFramePr>
        <xdr:cNvPr id="33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7</xdr:col>
      <xdr:colOff>219545</xdr:colOff>
      <xdr:row>136</xdr:row>
      <xdr:rowOff>38542</xdr:rowOff>
    </xdr:from>
    <xdr:to>
      <xdr:col>12</xdr:col>
      <xdr:colOff>361343</xdr:colOff>
      <xdr:row>153</xdr:row>
      <xdr:rowOff>41082</xdr:rowOff>
    </xdr:to>
    <xdr:graphicFrame macro="">
      <xdr:nvGraphicFramePr>
        <xdr:cNvPr id="35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165253</xdr:colOff>
      <xdr:row>45</xdr:row>
      <xdr:rowOff>917</xdr:rowOff>
    </xdr:from>
    <xdr:to>
      <xdr:col>14</xdr:col>
      <xdr:colOff>165253</xdr:colOff>
      <xdr:row>61</xdr:row>
      <xdr:rowOff>146890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271750</xdr:colOff>
      <xdr:row>20</xdr:row>
      <xdr:rowOff>153318</xdr:rowOff>
    </xdr:from>
    <xdr:to>
      <xdr:col>14</xdr:col>
      <xdr:colOff>271750</xdr:colOff>
      <xdr:row>37</xdr:row>
      <xdr:rowOff>115676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308471</xdr:colOff>
      <xdr:row>45</xdr:row>
      <xdr:rowOff>6425</xdr:rowOff>
    </xdr:from>
    <xdr:to>
      <xdr:col>19</xdr:col>
      <xdr:colOff>308471</xdr:colOff>
      <xdr:row>61</xdr:row>
      <xdr:rowOff>152398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332341</xdr:colOff>
      <xdr:row>29</xdr:row>
      <xdr:rowOff>64265</xdr:rowOff>
    </xdr:from>
    <xdr:to>
      <xdr:col>24</xdr:col>
      <xdr:colOff>201975</xdr:colOff>
      <xdr:row>42</xdr:row>
      <xdr:rowOff>20195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19"/>
  <sheetViews>
    <sheetView workbookViewId="0">
      <selection activeCell="E20" sqref="E20"/>
    </sheetView>
  </sheetViews>
  <sheetFormatPr defaultRowHeight="14.4" x14ac:dyDescent="0.3"/>
  <cols>
    <col min="1" max="1" width="16.5546875" customWidth="1"/>
  </cols>
  <sheetData>
    <row r="5" spans="1:5" x14ac:dyDescent="0.3">
      <c r="A5" s="12">
        <v>44394</v>
      </c>
    </row>
    <row r="7" spans="1:5" x14ac:dyDescent="0.3">
      <c r="B7" t="s">
        <v>67</v>
      </c>
      <c r="C7" t="s">
        <v>82</v>
      </c>
      <c r="D7" t="s">
        <v>81</v>
      </c>
      <c r="E7" t="s">
        <v>80</v>
      </c>
    </row>
    <row r="8" spans="1:5" x14ac:dyDescent="0.3">
      <c r="A8" t="s">
        <v>38</v>
      </c>
      <c r="B8">
        <v>0.55000000000000004</v>
      </c>
      <c r="C8">
        <v>0.7</v>
      </c>
      <c r="D8">
        <v>0.45</v>
      </c>
      <c r="E8">
        <v>0.45</v>
      </c>
    </row>
    <row r="9" spans="1:5" ht="15" customHeight="1" x14ac:dyDescent="0.3">
      <c r="A9" t="s">
        <v>79</v>
      </c>
      <c r="B9">
        <v>0.45</v>
      </c>
      <c r="C9">
        <v>0.3</v>
      </c>
      <c r="D9">
        <v>0.55000000000000004</v>
      </c>
      <c r="E9">
        <v>0.55000000000000004</v>
      </c>
    </row>
    <row r="10" spans="1:5" x14ac:dyDescent="0.3">
      <c r="A10" s="1" t="s">
        <v>44</v>
      </c>
      <c r="B10" s="1">
        <v>0.11956521739130455</v>
      </c>
      <c r="C10">
        <v>0.20588235294117674</v>
      </c>
      <c r="D10" s="4">
        <v>8.333333333333337E-2</v>
      </c>
      <c r="E10">
        <v>0.29032258064516159</v>
      </c>
    </row>
    <row r="11" spans="1:5" x14ac:dyDescent="0.3">
      <c r="A11" s="1" t="s">
        <v>45</v>
      </c>
      <c r="B11" s="1">
        <v>0.21729599185655268</v>
      </c>
      <c r="C11">
        <v>0.31819805153394609</v>
      </c>
      <c r="D11" s="4">
        <v>0.72630055762060364</v>
      </c>
      <c r="E11">
        <v>0.5164831146245803</v>
      </c>
    </row>
    <row r="12" spans="1:5" x14ac:dyDescent="0.3">
      <c r="A12" s="1" t="s">
        <v>43</v>
      </c>
      <c r="B12" s="1">
        <v>0.55024124637437022</v>
      </c>
      <c r="C12">
        <v>0.64702581285043703</v>
      </c>
      <c r="D12" s="4">
        <v>0.11473670570533151</v>
      </c>
      <c r="E12">
        <v>0.56211437010131571</v>
      </c>
    </row>
    <row r="13" spans="1:5" x14ac:dyDescent="0.3">
      <c r="A13" s="1" t="s">
        <v>46</v>
      </c>
      <c r="B13" s="1">
        <v>0.66313879075214277</v>
      </c>
      <c r="C13">
        <v>0.47591959552487717</v>
      </c>
      <c r="D13" s="4">
        <v>0.19036610904606299</v>
      </c>
      <c r="E13">
        <v>0.19319430473025812</v>
      </c>
    </row>
    <row r="14" spans="1:5" x14ac:dyDescent="0.3">
      <c r="A14" s="1" t="s">
        <v>47</v>
      </c>
      <c r="B14" s="1">
        <v>0.66313879075214277</v>
      </c>
      <c r="C14">
        <v>0.47591959552487717</v>
      </c>
      <c r="D14" s="4">
        <v>0.19036610904606299</v>
      </c>
      <c r="E14">
        <v>0.19319430473025812</v>
      </c>
    </row>
    <row r="15" spans="1:5" x14ac:dyDescent="0.3">
      <c r="A15" s="1" t="s">
        <v>48</v>
      </c>
      <c r="B15" s="1">
        <v>0.48287998190345038</v>
      </c>
      <c r="C15">
        <v>0.35355339059327345</v>
      </c>
      <c r="D15" s="4">
        <v>0.80700061957844849</v>
      </c>
      <c r="E15">
        <v>0.5738701273606448</v>
      </c>
    </row>
    <row r="16" spans="1:5" x14ac:dyDescent="0.3">
      <c r="A16" s="4" t="s">
        <v>78</v>
      </c>
      <c r="C16">
        <f>C10/B10</f>
        <v>1.7219251336898389</v>
      </c>
    </row>
    <row r="17" spans="1:5" x14ac:dyDescent="0.3">
      <c r="A17" s="4" t="s">
        <v>77</v>
      </c>
      <c r="C17">
        <f>C11/B11</f>
        <v>1.4643530642939959</v>
      </c>
    </row>
    <row r="18" spans="1:5" x14ac:dyDescent="0.3">
      <c r="A18" s="4" t="s">
        <v>83</v>
      </c>
      <c r="E18">
        <f>E10/C10</f>
        <v>1.4101382488479259</v>
      </c>
    </row>
    <row r="19" spans="1:5" x14ac:dyDescent="0.3">
      <c r="A19" s="4" t="s">
        <v>84</v>
      </c>
      <c r="E19">
        <f>E11/C11</f>
        <v>1.6231498343083999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I282"/>
  <sheetViews>
    <sheetView topLeftCell="A63" zoomScale="69" zoomScaleNormal="69" workbookViewId="0">
      <selection activeCell="AX98" sqref="AX98:AX103"/>
    </sheetView>
  </sheetViews>
  <sheetFormatPr defaultRowHeight="13.2" x14ac:dyDescent="0.25"/>
  <cols>
    <col min="1" max="1" width="5.77734375" style="1" customWidth="1"/>
    <col min="2" max="2" width="9.44140625" style="1" customWidth="1"/>
    <col min="3" max="3" width="7.44140625" style="1" customWidth="1"/>
    <col min="4" max="4" width="8.44140625" style="1" customWidth="1"/>
    <col min="5" max="5" width="6.5546875" style="1" customWidth="1"/>
    <col min="6" max="6" width="6.77734375" style="1" customWidth="1"/>
    <col min="7" max="7" width="5.109375" style="1" customWidth="1"/>
    <col min="8" max="8" width="6.5546875" style="1" customWidth="1"/>
    <col min="9" max="14" width="8.88671875" style="1"/>
    <col min="15" max="15" width="6.21875" style="1" customWidth="1"/>
    <col min="16" max="16" width="9.77734375" style="1" customWidth="1"/>
    <col min="17" max="17" width="6.33203125" style="1" customWidth="1"/>
    <col min="18" max="18" width="10.21875" style="1" customWidth="1"/>
    <col min="19" max="19" width="8.88671875" style="1" customWidth="1"/>
    <col min="20" max="20" width="8.6640625" style="1" customWidth="1"/>
    <col min="21" max="22" width="10.109375" style="1" customWidth="1"/>
    <col min="23" max="28" width="8.88671875" style="1"/>
    <col min="29" max="29" width="5" style="1" customWidth="1"/>
    <col min="30" max="34" width="6.21875" style="1" customWidth="1"/>
    <col min="35" max="36" width="3.77734375" style="1" customWidth="1"/>
    <col min="37" max="41" width="8.88671875" style="1" customWidth="1"/>
    <col min="42" max="42" width="4.5546875" style="1" customWidth="1"/>
    <col min="43" max="43" width="5.109375" style="1" customWidth="1"/>
    <col min="44" max="45" width="6" style="1" customWidth="1"/>
    <col min="46" max="46" width="6.77734375" style="1" customWidth="1"/>
    <col min="47" max="47" width="8.5546875" style="1" customWidth="1"/>
    <col min="48" max="48" width="6" style="1" customWidth="1"/>
    <col min="49" max="49" width="4" style="1" customWidth="1"/>
    <col min="50" max="50" width="8.5546875" style="1" customWidth="1"/>
    <col min="51" max="59" width="8.88671875" style="1" customWidth="1"/>
    <col min="60" max="16384" width="8.88671875" style="1"/>
  </cols>
  <sheetData>
    <row r="2" spans="1:20" x14ac:dyDescent="0.25">
      <c r="A2" s="7" t="s">
        <v>52</v>
      </c>
    </row>
    <row r="3" spans="1:20" x14ac:dyDescent="0.25">
      <c r="B3" s="1" t="s">
        <v>54</v>
      </c>
    </row>
    <row r="4" spans="1:20" x14ac:dyDescent="0.25">
      <c r="A4" s="1" t="s">
        <v>53</v>
      </c>
    </row>
    <row r="7" spans="1:20" x14ac:dyDescent="0.25">
      <c r="M7" s="1" t="s">
        <v>26</v>
      </c>
      <c r="S7" s="1" t="s">
        <v>27</v>
      </c>
    </row>
    <row r="8" spans="1:20" ht="32.4" x14ac:dyDescent="0.55000000000000004">
      <c r="A8" s="2" t="s">
        <v>0</v>
      </c>
      <c r="O8" s="1" t="s">
        <v>30</v>
      </c>
      <c r="P8" s="1" t="s">
        <v>31</v>
      </c>
      <c r="Q8" s="1" t="s">
        <v>32</v>
      </c>
      <c r="T8" s="1" t="s">
        <v>33</v>
      </c>
    </row>
    <row r="9" spans="1:20" x14ac:dyDescent="0.25">
      <c r="N9" s="1" t="s">
        <v>22</v>
      </c>
      <c r="O9" s="1">
        <v>8</v>
      </c>
    </row>
    <row r="10" spans="1:20" ht="14.4" x14ac:dyDescent="0.3">
      <c r="A10" t="s">
        <v>1</v>
      </c>
      <c r="B10"/>
      <c r="C10"/>
      <c r="D10"/>
      <c r="E10"/>
      <c r="F10"/>
      <c r="N10" s="1" t="s">
        <v>23</v>
      </c>
      <c r="O10" s="1">
        <v>1</v>
      </c>
    </row>
    <row r="11" spans="1:20" ht="14.4" x14ac:dyDescent="0.3">
      <c r="A11"/>
      <c r="B11" t="s">
        <v>2</v>
      </c>
      <c r="C11" t="s">
        <v>3</v>
      </c>
      <c r="D11"/>
      <c r="E11"/>
      <c r="F11" s="3" t="s">
        <v>4</v>
      </c>
      <c r="N11" s="1" t="s">
        <v>34</v>
      </c>
      <c r="O11" s="1">
        <v>9</v>
      </c>
    </row>
    <row r="12" spans="1:20" ht="14.4" x14ac:dyDescent="0.3">
      <c r="A12"/>
      <c r="B12" t="s">
        <v>5</v>
      </c>
      <c r="C12"/>
      <c r="D12"/>
      <c r="E12"/>
      <c r="J12" s="3" t="s">
        <v>6</v>
      </c>
      <c r="K12" s="1" t="s">
        <v>66</v>
      </c>
      <c r="N12" s="1" t="s">
        <v>14</v>
      </c>
      <c r="P12" s="1">
        <v>0.2</v>
      </c>
      <c r="R12" s="1" t="s">
        <v>4</v>
      </c>
    </row>
    <row r="13" spans="1:20" ht="14.4" x14ac:dyDescent="0.3">
      <c r="A13"/>
      <c r="B13" t="s">
        <v>7</v>
      </c>
      <c r="C13"/>
      <c r="D13"/>
      <c r="E13"/>
      <c r="J13" s="3" t="s">
        <v>8</v>
      </c>
      <c r="K13" s="1" t="s">
        <v>65</v>
      </c>
      <c r="N13" s="1" t="s">
        <v>35</v>
      </c>
      <c r="P13" s="1">
        <v>0.45</v>
      </c>
      <c r="R13" s="1">
        <v>0.9</v>
      </c>
    </row>
    <row r="14" spans="1:20" x14ac:dyDescent="0.25">
      <c r="N14" s="1" t="s">
        <v>36</v>
      </c>
      <c r="P14" s="1" t="s">
        <v>6</v>
      </c>
      <c r="R14" s="1" t="s">
        <v>8</v>
      </c>
    </row>
    <row r="15" spans="1:20" x14ac:dyDescent="0.25">
      <c r="O15" s="1" t="s">
        <v>37</v>
      </c>
      <c r="P15" s="1">
        <v>1</v>
      </c>
    </row>
    <row r="16" spans="1:20" x14ac:dyDescent="0.25">
      <c r="M16" s="1" t="s">
        <v>38</v>
      </c>
      <c r="N16" s="1" t="s">
        <v>39</v>
      </c>
      <c r="O16" s="1" t="s">
        <v>40</v>
      </c>
      <c r="P16" s="1" t="s">
        <v>41</v>
      </c>
      <c r="Q16" s="1" t="s">
        <v>42</v>
      </c>
      <c r="R16" s="1" t="s">
        <v>43</v>
      </c>
      <c r="S16" s="1" t="s">
        <v>44</v>
      </c>
    </row>
    <row r="17" spans="1:19" x14ac:dyDescent="0.25">
      <c r="M17" s="1">
        <v>0</v>
      </c>
      <c r="N17" s="1">
        <v>1</v>
      </c>
      <c r="O17" s="1">
        <v>1</v>
      </c>
      <c r="P17" s="1">
        <v>0.45</v>
      </c>
      <c r="Q17" s="1">
        <v>0.55000000000000004</v>
      </c>
      <c r="R17" s="1">
        <v>0</v>
      </c>
      <c r="S17" s="1" t="s">
        <v>45</v>
      </c>
    </row>
    <row r="18" spans="1:19" x14ac:dyDescent="0.25">
      <c r="A18" s="1" t="s">
        <v>9</v>
      </c>
      <c r="M18" s="1">
        <v>5.0000000000000044E-2</v>
      </c>
      <c r="N18" s="1">
        <v>0.95</v>
      </c>
      <c r="O18" s="1">
        <v>0.99418604651162779</v>
      </c>
      <c r="P18" s="1">
        <v>0.42838723720484478</v>
      </c>
      <c r="Q18" s="1">
        <v>0.56579880930678295</v>
      </c>
      <c r="R18" s="1">
        <v>1.3571724326586597E-2</v>
      </c>
      <c r="S18" s="1" t="s">
        <v>43</v>
      </c>
    </row>
    <row r="19" spans="1:19" x14ac:dyDescent="0.25">
      <c r="A19" s="1" t="s">
        <v>10</v>
      </c>
    </row>
    <row r="20" spans="1:19" x14ac:dyDescent="0.25">
      <c r="B20" s="1" t="s">
        <v>11</v>
      </c>
    </row>
    <row r="22" spans="1:19" x14ac:dyDescent="0.25">
      <c r="A22" s="1" t="s">
        <v>12</v>
      </c>
    </row>
    <row r="24" spans="1:19" x14ac:dyDescent="0.25">
      <c r="B24" s="1" t="s">
        <v>13</v>
      </c>
    </row>
    <row r="26" spans="1:19" x14ac:dyDescent="0.25">
      <c r="B26" s="1" t="s">
        <v>14</v>
      </c>
      <c r="C26" s="1">
        <v>0</v>
      </c>
      <c r="D26" s="1">
        <v>0.5</v>
      </c>
      <c r="E26" s="1">
        <v>1</v>
      </c>
      <c r="F26" s="1">
        <v>2</v>
      </c>
    </row>
    <row r="27" spans="1:19" x14ac:dyDescent="0.25">
      <c r="B27" s="1" t="s">
        <v>15</v>
      </c>
      <c r="C27" s="1">
        <v>1</v>
      </c>
      <c r="D27" s="1">
        <v>1</v>
      </c>
      <c r="E27" s="1">
        <v>1</v>
      </c>
      <c r="F27" s="1">
        <v>1</v>
      </c>
    </row>
    <row r="29" spans="1:19" x14ac:dyDescent="0.25">
      <c r="B29" s="1" t="s">
        <v>16</v>
      </c>
      <c r="C29" s="1" t="str">
        <f>"v = "&amp;C26</f>
        <v>v = 0</v>
      </c>
      <c r="D29" s="1" t="str">
        <f>"v = "&amp;D26</f>
        <v>v = 0.5</v>
      </c>
      <c r="E29" s="1" t="str">
        <f>"v = "&amp;E26</f>
        <v>v = 1</v>
      </c>
      <c r="F29" s="1" t="str">
        <f>"v = "&amp;F26</f>
        <v>v = 2</v>
      </c>
    </row>
    <row r="30" spans="1:19" x14ac:dyDescent="0.25">
      <c r="B30" s="1">
        <v>0</v>
      </c>
      <c r="C30" s="1">
        <f t="shared" ref="C30:F50" si="0">C$27*SQRT(C$26^2+$B30^2)</f>
        <v>0</v>
      </c>
      <c r="D30" s="1">
        <f t="shared" si="0"/>
        <v>0.5</v>
      </c>
      <c r="E30" s="1">
        <f t="shared" si="0"/>
        <v>1</v>
      </c>
      <c r="F30" s="1">
        <f t="shared" si="0"/>
        <v>2</v>
      </c>
    </row>
    <row r="31" spans="1:19" x14ac:dyDescent="0.25">
      <c r="B31" s="1">
        <f t="shared" ref="B31:B50" si="1">B30+0.05</f>
        <v>0.05</v>
      </c>
      <c r="C31" s="1">
        <f t="shared" si="0"/>
        <v>0.05</v>
      </c>
      <c r="D31" s="1">
        <f t="shared" si="0"/>
        <v>0.50249378105604448</v>
      </c>
      <c r="E31" s="1">
        <f t="shared" si="0"/>
        <v>1.0012492197250393</v>
      </c>
      <c r="F31" s="1">
        <f t="shared" si="0"/>
        <v>2.0006249023742559</v>
      </c>
    </row>
    <row r="32" spans="1:19" x14ac:dyDescent="0.25">
      <c r="B32" s="1">
        <f t="shared" si="1"/>
        <v>0.1</v>
      </c>
      <c r="C32" s="1">
        <f t="shared" si="0"/>
        <v>0.1</v>
      </c>
      <c r="D32" s="1">
        <f t="shared" si="0"/>
        <v>0.50990195135927852</v>
      </c>
      <c r="E32" s="1">
        <f t="shared" si="0"/>
        <v>1.004987562112089</v>
      </c>
      <c r="F32" s="1">
        <f t="shared" si="0"/>
        <v>2.0024984394500787</v>
      </c>
    </row>
    <row r="33" spans="2:6" x14ac:dyDescent="0.25">
      <c r="B33" s="1">
        <f t="shared" si="1"/>
        <v>0.15000000000000002</v>
      </c>
      <c r="C33" s="1">
        <f t="shared" si="0"/>
        <v>0.15000000000000002</v>
      </c>
      <c r="D33" s="1">
        <f t="shared" si="0"/>
        <v>0.52201532544552753</v>
      </c>
      <c r="E33" s="1">
        <f t="shared" si="0"/>
        <v>1.0111874208078342</v>
      </c>
      <c r="F33" s="1">
        <f t="shared" si="0"/>
        <v>2.0056171120131578</v>
      </c>
    </row>
    <row r="34" spans="2:6" x14ac:dyDescent="0.25">
      <c r="B34" s="1">
        <f t="shared" si="1"/>
        <v>0.2</v>
      </c>
      <c r="C34" s="1">
        <f t="shared" si="0"/>
        <v>0.2</v>
      </c>
      <c r="D34" s="1">
        <f t="shared" si="0"/>
        <v>0.53851648071345048</v>
      </c>
      <c r="E34" s="1">
        <f t="shared" si="0"/>
        <v>1.019803902718557</v>
      </c>
      <c r="F34" s="1">
        <f t="shared" si="0"/>
        <v>2.0099751242241779</v>
      </c>
    </row>
    <row r="35" spans="2:6" x14ac:dyDescent="0.25">
      <c r="B35" s="1">
        <f t="shared" si="1"/>
        <v>0.25</v>
      </c>
      <c r="C35" s="1">
        <f t="shared" si="0"/>
        <v>0.25</v>
      </c>
      <c r="D35" s="1">
        <f t="shared" si="0"/>
        <v>0.55901699437494745</v>
      </c>
      <c r="E35" s="1">
        <f t="shared" si="0"/>
        <v>1.0307764064044151</v>
      </c>
      <c r="F35" s="1">
        <f t="shared" si="0"/>
        <v>2.0155644370746373</v>
      </c>
    </row>
    <row r="36" spans="2:6" x14ac:dyDescent="0.25">
      <c r="B36" s="1">
        <f t="shared" si="1"/>
        <v>0.3</v>
      </c>
      <c r="C36" s="1">
        <f t="shared" si="0"/>
        <v>0.3</v>
      </c>
      <c r="D36" s="1">
        <f t="shared" si="0"/>
        <v>0.58309518948452999</v>
      </c>
      <c r="E36" s="1">
        <f t="shared" si="0"/>
        <v>1.0440306508910551</v>
      </c>
      <c r="F36" s="1">
        <f t="shared" si="0"/>
        <v>2.0223748416156684</v>
      </c>
    </row>
    <row r="37" spans="2:6" x14ac:dyDescent="0.25">
      <c r="B37" s="1">
        <f t="shared" si="1"/>
        <v>0.35</v>
      </c>
      <c r="C37" s="1">
        <f t="shared" si="0"/>
        <v>0.35</v>
      </c>
      <c r="D37" s="1">
        <f t="shared" si="0"/>
        <v>0.61032778078668515</v>
      </c>
      <c r="E37" s="1">
        <f t="shared" si="0"/>
        <v>1.0594810050208545</v>
      </c>
      <c r="F37" s="1">
        <f t="shared" si="0"/>
        <v>2.0303940504246953</v>
      </c>
    </row>
    <row r="38" spans="2:6" x14ac:dyDescent="0.25">
      <c r="B38" s="1">
        <f t="shared" si="1"/>
        <v>0.39999999999999997</v>
      </c>
      <c r="C38" s="1">
        <f t="shared" si="0"/>
        <v>0.39999999999999997</v>
      </c>
      <c r="D38" s="1">
        <f t="shared" si="0"/>
        <v>0.6403124237432849</v>
      </c>
      <c r="E38" s="1">
        <f t="shared" si="0"/>
        <v>1.0770329614269007</v>
      </c>
      <c r="F38" s="1">
        <f t="shared" si="0"/>
        <v>2.0396078054371141</v>
      </c>
    </row>
    <row r="39" spans="2:6" x14ac:dyDescent="0.25">
      <c r="B39" s="1">
        <f t="shared" si="1"/>
        <v>0.44999999999999996</v>
      </c>
      <c r="C39" s="1">
        <f t="shared" si="0"/>
        <v>0.44999999999999996</v>
      </c>
      <c r="D39" s="1">
        <f t="shared" si="0"/>
        <v>0.67268120235368545</v>
      </c>
      <c r="E39" s="1">
        <f t="shared" si="0"/>
        <v>1.0965856099730653</v>
      </c>
      <c r="F39" s="1">
        <f t="shared" si="0"/>
        <v>2.0499999999999998</v>
      </c>
    </row>
    <row r="40" spans="2:6" x14ac:dyDescent="0.25">
      <c r="B40" s="1">
        <f t="shared" si="1"/>
        <v>0.49999999999999994</v>
      </c>
      <c r="C40" s="1">
        <f t="shared" si="0"/>
        <v>0.49999999999999994</v>
      </c>
      <c r="D40" s="1">
        <f t="shared" si="0"/>
        <v>0.70710678118654746</v>
      </c>
      <c r="E40" s="1">
        <f t="shared" si="0"/>
        <v>1.1180339887498949</v>
      </c>
      <c r="F40" s="1">
        <f t="shared" si="0"/>
        <v>2.0615528128088303</v>
      </c>
    </row>
    <row r="41" spans="2:6" x14ac:dyDescent="0.25">
      <c r="B41" s="1">
        <f t="shared" si="1"/>
        <v>0.54999999999999993</v>
      </c>
      <c r="C41" s="1">
        <f t="shared" si="0"/>
        <v>0.54999999999999993</v>
      </c>
      <c r="D41" s="1">
        <f t="shared" si="0"/>
        <v>0.7433034373659253</v>
      </c>
      <c r="E41" s="1">
        <f t="shared" si="0"/>
        <v>1.1412712210513327</v>
      </c>
      <c r="F41" s="1">
        <f t="shared" si="0"/>
        <v>2.0742468512691539</v>
      </c>
    </row>
    <row r="42" spans="2:6" x14ac:dyDescent="0.25">
      <c r="B42" s="1">
        <f t="shared" si="1"/>
        <v>0.6</v>
      </c>
      <c r="C42" s="1">
        <f t="shared" si="0"/>
        <v>0.6</v>
      </c>
      <c r="D42" s="1">
        <f t="shared" si="0"/>
        <v>0.78102496759066542</v>
      </c>
      <c r="E42" s="1">
        <f t="shared" si="0"/>
        <v>1.16619037896906</v>
      </c>
      <c r="F42" s="1">
        <f t="shared" si="0"/>
        <v>2.0880613017821101</v>
      </c>
    </row>
    <row r="43" spans="2:6" x14ac:dyDescent="0.25">
      <c r="B43" s="1">
        <f t="shared" si="1"/>
        <v>0.65</v>
      </c>
      <c r="C43" s="1">
        <f t="shared" si="0"/>
        <v>0.65</v>
      </c>
      <c r="D43" s="1">
        <f t="shared" si="0"/>
        <v>0.82006097334283634</v>
      </c>
      <c r="E43" s="1">
        <f t="shared" si="0"/>
        <v>1.1926860441876563</v>
      </c>
      <c r="F43" s="1">
        <f t="shared" si="0"/>
        <v>2.1029740844813092</v>
      </c>
    </row>
    <row r="44" spans="2:6" x14ac:dyDescent="0.25">
      <c r="B44" s="1">
        <f t="shared" si="1"/>
        <v>0.70000000000000007</v>
      </c>
      <c r="C44" s="1">
        <f t="shared" si="0"/>
        <v>0.70000000000000007</v>
      </c>
      <c r="D44" s="1">
        <f t="shared" si="0"/>
        <v>0.86023252670426276</v>
      </c>
      <c r="E44" s="1">
        <f t="shared" si="0"/>
        <v>1.2206555615733703</v>
      </c>
      <c r="F44" s="1">
        <f t="shared" si="0"/>
        <v>2.118962010041709</v>
      </c>
    </row>
    <row r="45" spans="2:6" x14ac:dyDescent="0.25">
      <c r="B45" s="1">
        <f t="shared" si="1"/>
        <v>0.75000000000000011</v>
      </c>
      <c r="C45" s="1">
        <f t="shared" si="0"/>
        <v>0.75000000000000011</v>
      </c>
      <c r="D45" s="1">
        <f t="shared" si="0"/>
        <v>0.90138781886599739</v>
      </c>
      <c r="E45" s="1">
        <f t="shared" si="0"/>
        <v>1.25</v>
      </c>
      <c r="F45" s="1">
        <f t="shared" si="0"/>
        <v>2.1360009363293826</v>
      </c>
    </row>
    <row r="46" spans="2:6" x14ac:dyDescent="0.25">
      <c r="B46" s="1">
        <f t="shared" si="1"/>
        <v>0.80000000000000016</v>
      </c>
      <c r="C46" s="1">
        <f t="shared" si="0"/>
        <v>0.80000000000000016</v>
      </c>
      <c r="D46" s="1">
        <f t="shared" si="0"/>
        <v>0.94339811320566047</v>
      </c>
      <c r="E46" s="1">
        <f t="shared" si="0"/>
        <v>1.2806248474865698</v>
      </c>
      <c r="F46" s="1">
        <f t="shared" si="0"/>
        <v>2.1540659228538019</v>
      </c>
    </row>
    <row r="47" spans="2:6" x14ac:dyDescent="0.25">
      <c r="B47" s="1">
        <f t="shared" si="1"/>
        <v>0.8500000000000002</v>
      </c>
      <c r="C47" s="1">
        <f t="shared" si="0"/>
        <v>0.8500000000000002</v>
      </c>
      <c r="D47" s="1">
        <f t="shared" si="0"/>
        <v>0.98615414616580122</v>
      </c>
      <c r="E47" s="1">
        <f t="shared" si="0"/>
        <v>1.3124404748406688</v>
      </c>
      <c r="F47" s="1">
        <f t="shared" si="0"/>
        <v>2.173131381210073</v>
      </c>
    </row>
    <row r="48" spans="2:6" x14ac:dyDescent="0.25">
      <c r="B48" s="1">
        <f t="shared" si="1"/>
        <v>0.90000000000000024</v>
      </c>
      <c r="C48" s="1">
        <f t="shared" si="0"/>
        <v>0.90000000000000024</v>
      </c>
      <c r="D48" s="1">
        <f t="shared" si="0"/>
        <v>1.0295630140987002</v>
      </c>
      <c r="E48" s="1">
        <f t="shared" si="0"/>
        <v>1.3453624047073711</v>
      </c>
      <c r="F48" s="1">
        <f t="shared" si="0"/>
        <v>2.1931712199461311</v>
      </c>
    </row>
    <row r="49" spans="1:6" x14ac:dyDescent="0.25">
      <c r="B49" s="1">
        <f t="shared" si="1"/>
        <v>0.95000000000000029</v>
      </c>
      <c r="C49" s="1">
        <f t="shared" si="0"/>
        <v>0.95000000000000029</v>
      </c>
      <c r="D49" s="1">
        <f t="shared" si="0"/>
        <v>1.0735455276791948</v>
      </c>
      <c r="E49" s="1">
        <f t="shared" si="0"/>
        <v>1.3793114224133725</v>
      </c>
      <c r="F49" s="1">
        <f t="shared" si="0"/>
        <v>2.2141589825484531</v>
      </c>
    </row>
    <row r="50" spans="1:6" x14ac:dyDescent="0.25">
      <c r="B50" s="1">
        <f t="shared" si="1"/>
        <v>1.0000000000000002</v>
      </c>
      <c r="C50" s="1">
        <f t="shared" si="0"/>
        <v>1.0000000000000002</v>
      </c>
      <c r="D50" s="1">
        <f t="shared" si="0"/>
        <v>1.1180339887498951</v>
      </c>
      <c r="E50" s="1">
        <f t="shared" si="0"/>
        <v>1.4142135623730951</v>
      </c>
      <c r="F50" s="1">
        <f t="shared" si="0"/>
        <v>2.2360679774997898</v>
      </c>
    </row>
    <row r="53" spans="1:6" x14ac:dyDescent="0.25">
      <c r="A53" s="1" t="s">
        <v>17</v>
      </c>
    </row>
    <row r="54" spans="1:6" x14ac:dyDescent="0.25">
      <c r="B54" s="1" t="s">
        <v>18</v>
      </c>
    </row>
    <row r="57" spans="1:6" x14ac:dyDescent="0.25">
      <c r="A57" s="1" t="s">
        <v>19</v>
      </c>
      <c r="B57" s="1" t="s">
        <v>20</v>
      </c>
    </row>
    <row r="59" spans="1:6" x14ac:dyDescent="0.25">
      <c r="B59" s="1" t="s">
        <v>21</v>
      </c>
    </row>
    <row r="60" spans="1:6" x14ac:dyDescent="0.25">
      <c r="B60" s="1" t="s">
        <v>22</v>
      </c>
      <c r="C60" s="1">
        <v>0</v>
      </c>
      <c r="D60" s="1">
        <v>0.5</v>
      </c>
      <c r="E60" s="1">
        <v>1</v>
      </c>
      <c r="F60" s="1">
        <v>2</v>
      </c>
    </row>
    <row r="61" spans="1:6" x14ac:dyDescent="0.25">
      <c r="B61" s="1" t="s">
        <v>23</v>
      </c>
      <c r="C61" s="1">
        <v>1</v>
      </c>
      <c r="D61" s="1">
        <v>1</v>
      </c>
      <c r="E61" s="1">
        <v>1</v>
      </c>
      <c r="F61" s="1">
        <v>1</v>
      </c>
    </row>
    <row r="63" spans="1:6" x14ac:dyDescent="0.25">
      <c r="B63" s="1" t="s">
        <v>16</v>
      </c>
      <c r="C63" s="1" t="str">
        <f>"h = "&amp;C60</f>
        <v>h = 0</v>
      </c>
      <c r="D63" s="1" t="str">
        <f>"h = "&amp;D60</f>
        <v>h = 0.5</v>
      </c>
      <c r="E63" s="1" t="str">
        <f>"h = "&amp;E60</f>
        <v>h = 1</v>
      </c>
      <c r="F63" s="1" t="str">
        <f>"h = "&amp;F60</f>
        <v>h = 2</v>
      </c>
    </row>
    <row r="64" spans="1:6" x14ac:dyDescent="0.25">
      <c r="B64" s="1">
        <v>0</v>
      </c>
      <c r="C64" s="1">
        <f>$B64*C$61/(1+$B64*C$60*C$61)</f>
        <v>0</v>
      </c>
      <c r="D64" s="1">
        <f>$B64*D$61/(1+$B64*D$60*D$61)</f>
        <v>0</v>
      </c>
      <c r="E64" s="1">
        <f>$B64*E$61/(1+$B64*E$60*E$61)</f>
        <v>0</v>
      </c>
      <c r="F64" s="1">
        <f>$B64*F$61/(1+$B64*F$60*F$61)</f>
        <v>0</v>
      </c>
    </row>
    <row r="65" spans="2:30" x14ac:dyDescent="0.25">
      <c r="B65" s="1">
        <f t="shared" ref="B65:B84" si="2">B64+0.05</f>
        <v>0.05</v>
      </c>
      <c r="C65" s="1">
        <f t="shared" ref="C65:D84" si="3">$B65*C$61/(1+$B65*C$60*C$61)</f>
        <v>0.05</v>
      </c>
      <c r="D65" s="1">
        <f>$B65*AH85/(1+$B65*D$60*D$61)</f>
        <v>0</v>
      </c>
      <c r="E65" s="1">
        <f t="shared" ref="E65:F84" si="4">$B65*E$61/(1+$B65*E$60*E$61)</f>
        <v>4.7619047619047616E-2</v>
      </c>
      <c r="F65" s="1">
        <f t="shared" si="4"/>
        <v>4.5454545454545456E-2</v>
      </c>
    </row>
    <row r="66" spans="2:30" x14ac:dyDescent="0.25">
      <c r="B66" s="1">
        <f t="shared" si="2"/>
        <v>0.1</v>
      </c>
      <c r="C66" s="1">
        <f t="shared" si="3"/>
        <v>0.1</v>
      </c>
      <c r="D66" s="1">
        <f t="shared" si="3"/>
        <v>9.5238095238095233E-2</v>
      </c>
      <c r="E66" s="1">
        <f t="shared" si="4"/>
        <v>9.0909090909090912E-2</v>
      </c>
      <c r="F66" s="1">
        <f t="shared" si="4"/>
        <v>8.3333333333333343E-2</v>
      </c>
    </row>
    <row r="67" spans="2:30" x14ac:dyDescent="0.25">
      <c r="B67" s="1">
        <f t="shared" si="2"/>
        <v>0.15000000000000002</v>
      </c>
      <c r="C67" s="1">
        <f t="shared" si="3"/>
        <v>0.15000000000000002</v>
      </c>
      <c r="D67" s="1">
        <f t="shared" si="3"/>
        <v>0.13953488372093026</v>
      </c>
      <c r="E67" s="1">
        <f t="shared" si="4"/>
        <v>0.13043478260869568</v>
      </c>
      <c r="F67" s="1">
        <f t="shared" si="4"/>
        <v>0.11538461538461539</v>
      </c>
    </row>
    <row r="68" spans="2:30" x14ac:dyDescent="0.25">
      <c r="B68" s="1">
        <f t="shared" si="2"/>
        <v>0.2</v>
      </c>
      <c r="C68" s="1">
        <f t="shared" si="3"/>
        <v>0.2</v>
      </c>
      <c r="D68" s="1">
        <f t="shared" si="3"/>
        <v>0.18181818181818182</v>
      </c>
      <c r="E68" s="1">
        <f t="shared" si="4"/>
        <v>0.16666666666666669</v>
      </c>
      <c r="F68" s="1">
        <f t="shared" si="4"/>
        <v>0.14285714285714288</v>
      </c>
    </row>
    <row r="69" spans="2:30" x14ac:dyDescent="0.25">
      <c r="B69" s="1">
        <f t="shared" si="2"/>
        <v>0.25</v>
      </c>
      <c r="C69" s="1">
        <f t="shared" si="3"/>
        <v>0.25</v>
      </c>
      <c r="D69" s="1">
        <f t="shared" si="3"/>
        <v>0.22222222222222221</v>
      </c>
      <c r="E69" s="1">
        <f t="shared" si="4"/>
        <v>0.2</v>
      </c>
      <c r="F69" s="1">
        <f t="shared" si="4"/>
        <v>0.16666666666666666</v>
      </c>
    </row>
    <row r="70" spans="2:30" x14ac:dyDescent="0.25">
      <c r="B70" s="1">
        <f t="shared" si="2"/>
        <v>0.3</v>
      </c>
      <c r="C70" s="1">
        <f t="shared" si="3"/>
        <v>0.3</v>
      </c>
      <c r="D70" s="1">
        <f t="shared" si="3"/>
        <v>0.2608695652173913</v>
      </c>
      <c r="E70" s="1">
        <f t="shared" si="4"/>
        <v>0.23076923076923075</v>
      </c>
      <c r="F70" s="1">
        <f t="shared" si="4"/>
        <v>0.18749999999999997</v>
      </c>
    </row>
    <row r="71" spans="2:30" x14ac:dyDescent="0.25">
      <c r="B71" s="1">
        <f t="shared" si="2"/>
        <v>0.35</v>
      </c>
      <c r="C71" s="1">
        <f t="shared" si="3"/>
        <v>0.35</v>
      </c>
      <c r="D71" s="1">
        <f t="shared" si="3"/>
        <v>0.2978723404255319</v>
      </c>
      <c r="E71" s="1">
        <f t="shared" si="4"/>
        <v>0.25925925925925924</v>
      </c>
      <c r="F71" s="1">
        <f t="shared" si="4"/>
        <v>0.20588235294117646</v>
      </c>
    </row>
    <row r="72" spans="2:30" x14ac:dyDescent="0.25">
      <c r="B72" s="1">
        <f t="shared" si="2"/>
        <v>0.39999999999999997</v>
      </c>
      <c r="C72" s="1">
        <f t="shared" si="3"/>
        <v>0.39999999999999997</v>
      </c>
      <c r="D72" s="1">
        <f t="shared" si="3"/>
        <v>0.33333333333333331</v>
      </c>
      <c r="E72" s="1">
        <f t="shared" si="4"/>
        <v>0.2857142857142857</v>
      </c>
      <c r="F72" s="1">
        <f t="shared" si="4"/>
        <v>0.22222222222222224</v>
      </c>
    </row>
    <row r="73" spans="2:30" x14ac:dyDescent="0.25">
      <c r="B73" s="1">
        <f t="shared" si="2"/>
        <v>0.44999999999999996</v>
      </c>
      <c r="C73" s="1">
        <f t="shared" si="3"/>
        <v>0.44999999999999996</v>
      </c>
      <c r="D73" s="1">
        <f t="shared" si="3"/>
        <v>0.36734693877551017</v>
      </c>
      <c r="E73" s="1">
        <f t="shared" si="4"/>
        <v>0.31034482758620685</v>
      </c>
      <c r="F73" s="1">
        <f t="shared" si="4"/>
        <v>0.23684210526315788</v>
      </c>
    </row>
    <row r="74" spans="2:30" x14ac:dyDescent="0.25">
      <c r="B74" s="1">
        <f t="shared" si="2"/>
        <v>0.49999999999999994</v>
      </c>
      <c r="C74" s="1">
        <f t="shared" si="3"/>
        <v>0.49999999999999994</v>
      </c>
      <c r="D74" s="1">
        <f t="shared" si="3"/>
        <v>0.39999999999999997</v>
      </c>
      <c r="E74" s="1">
        <f t="shared" si="4"/>
        <v>0.33333333333333331</v>
      </c>
      <c r="F74" s="1">
        <f t="shared" si="4"/>
        <v>0.24999999999999997</v>
      </c>
    </row>
    <row r="75" spans="2:30" x14ac:dyDescent="0.25">
      <c r="B75" s="1">
        <f t="shared" si="2"/>
        <v>0.54999999999999993</v>
      </c>
      <c r="C75" s="1">
        <f t="shared" si="3"/>
        <v>0.54999999999999993</v>
      </c>
      <c r="D75" s="1">
        <f t="shared" si="3"/>
        <v>0.43137254901960781</v>
      </c>
      <c r="E75" s="1">
        <f t="shared" si="4"/>
        <v>0.35483870967741937</v>
      </c>
      <c r="F75" s="1">
        <f t="shared" si="4"/>
        <v>0.26190476190476192</v>
      </c>
    </row>
    <row r="76" spans="2:30" x14ac:dyDescent="0.25">
      <c r="B76" s="1">
        <f t="shared" si="2"/>
        <v>0.6</v>
      </c>
      <c r="C76" s="1">
        <f t="shared" si="3"/>
        <v>0.6</v>
      </c>
      <c r="D76" s="1">
        <f t="shared" si="3"/>
        <v>0.46153846153846151</v>
      </c>
      <c r="E76" s="1">
        <f t="shared" si="4"/>
        <v>0.37499999999999994</v>
      </c>
      <c r="F76" s="1">
        <f t="shared" si="4"/>
        <v>0.27272727272727271</v>
      </c>
    </row>
    <row r="77" spans="2:30" x14ac:dyDescent="0.25">
      <c r="B77" s="1">
        <f t="shared" si="2"/>
        <v>0.65</v>
      </c>
      <c r="C77" s="1">
        <f t="shared" si="3"/>
        <v>0.65</v>
      </c>
      <c r="D77" s="1">
        <f t="shared" si="3"/>
        <v>0.49056603773584911</v>
      </c>
      <c r="E77" s="1">
        <f t="shared" si="4"/>
        <v>0.39393939393939398</v>
      </c>
      <c r="F77" s="1">
        <f t="shared" si="4"/>
        <v>0.28260869565217395</v>
      </c>
      <c r="AC77" s="4"/>
      <c r="AD77" s="4"/>
    </row>
    <row r="78" spans="2:30" x14ac:dyDescent="0.25">
      <c r="B78" s="1">
        <f t="shared" si="2"/>
        <v>0.70000000000000007</v>
      </c>
      <c r="C78" s="1">
        <f t="shared" si="3"/>
        <v>0.70000000000000007</v>
      </c>
      <c r="D78" s="1">
        <f t="shared" si="3"/>
        <v>0.51851851851851849</v>
      </c>
      <c r="E78" s="1">
        <f t="shared" si="4"/>
        <v>0.41176470588235292</v>
      </c>
      <c r="F78" s="1">
        <f t="shared" si="4"/>
        <v>0.29166666666666663</v>
      </c>
      <c r="AC78" s="4"/>
      <c r="AD78" s="4"/>
    </row>
    <row r="79" spans="2:30" x14ac:dyDescent="0.25">
      <c r="B79" s="1">
        <f t="shared" si="2"/>
        <v>0.75000000000000011</v>
      </c>
      <c r="C79" s="1">
        <f t="shared" si="3"/>
        <v>0.75000000000000011</v>
      </c>
      <c r="D79" s="1">
        <f t="shared" si="3"/>
        <v>0.54545454545454553</v>
      </c>
      <c r="E79" s="1">
        <f t="shared" si="4"/>
        <v>0.42857142857142866</v>
      </c>
      <c r="F79" s="1">
        <f t="shared" si="4"/>
        <v>0.30000000000000004</v>
      </c>
      <c r="AC79" s="4"/>
      <c r="AD79" s="4"/>
    </row>
    <row r="80" spans="2:30" x14ac:dyDescent="0.25">
      <c r="B80" s="1">
        <f t="shared" si="2"/>
        <v>0.80000000000000016</v>
      </c>
      <c r="C80" s="1">
        <f t="shared" si="3"/>
        <v>0.80000000000000016</v>
      </c>
      <c r="D80" s="1">
        <f t="shared" si="3"/>
        <v>0.57142857142857151</v>
      </c>
      <c r="E80" s="1">
        <f t="shared" si="4"/>
        <v>0.44444444444444448</v>
      </c>
      <c r="F80" s="1">
        <f t="shared" si="4"/>
        <v>0.30769230769230771</v>
      </c>
      <c r="AC80" s="4"/>
      <c r="AD80" s="4"/>
    </row>
    <row r="81" spans="1:61" x14ac:dyDescent="0.25">
      <c r="B81" s="1">
        <f t="shared" si="2"/>
        <v>0.8500000000000002</v>
      </c>
      <c r="C81" s="1">
        <f t="shared" si="3"/>
        <v>0.8500000000000002</v>
      </c>
      <c r="D81" s="1">
        <f t="shared" si="3"/>
        <v>0.59649122807017552</v>
      </c>
      <c r="E81" s="1">
        <f t="shared" si="4"/>
        <v>0.45945945945945954</v>
      </c>
      <c r="F81" s="1">
        <f t="shared" si="4"/>
        <v>0.31481481481481488</v>
      </c>
      <c r="AC81" s="4"/>
      <c r="AD81" s="4"/>
    </row>
    <row r="82" spans="1:61" x14ac:dyDescent="0.25">
      <c r="B82" s="1">
        <f t="shared" si="2"/>
        <v>0.90000000000000024</v>
      </c>
      <c r="C82" s="1">
        <f t="shared" si="3"/>
        <v>0.90000000000000024</v>
      </c>
      <c r="D82" s="1">
        <f t="shared" si="3"/>
        <v>0.62068965517241392</v>
      </c>
      <c r="E82" s="1">
        <f t="shared" si="4"/>
        <v>0.47368421052631582</v>
      </c>
      <c r="F82" s="1">
        <f t="shared" si="4"/>
        <v>0.32142857142857145</v>
      </c>
      <c r="AC82" s="4"/>
      <c r="AD82" s="4"/>
    </row>
    <row r="83" spans="1:61" x14ac:dyDescent="0.25">
      <c r="B83" s="1">
        <f t="shared" si="2"/>
        <v>0.95000000000000029</v>
      </c>
      <c r="C83" s="1">
        <f t="shared" si="3"/>
        <v>0.95000000000000029</v>
      </c>
      <c r="D83" s="1">
        <f t="shared" si="3"/>
        <v>0.64406779661016966</v>
      </c>
      <c r="E83" s="1">
        <f t="shared" si="4"/>
        <v>0.48717948717948728</v>
      </c>
      <c r="F83" s="1">
        <f t="shared" si="4"/>
        <v>0.32758620689655177</v>
      </c>
      <c r="AC83" s="4"/>
      <c r="AD83" s="4"/>
    </row>
    <row r="84" spans="1:61" x14ac:dyDescent="0.25">
      <c r="B84" s="1">
        <f t="shared" si="2"/>
        <v>1.0000000000000002</v>
      </c>
      <c r="C84" s="1">
        <f t="shared" si="3"/>
        <v>1.0000000000000002</v>
      </c>
      <c r="D84" s="1">
        <f t="shared" si="3"/>
        <v>0.66666666666666685</v>
      </c>
      <c r="E84" s="1">
        <f t="shared" si="4"/>
        <v>0.50000000000000011</v>
      </c>
      <c r="F84" s="1">
        <f t="shared" si="4"/>
        <v>0.33333333333333337</v>
      </c>
      <c r="AC84" s="4"/>
      <c r="AD84" s="4"/>
    </row>
    <row r="85" spans="1:61" x14ac:dyDescent="0.25">
      <c r="P85" s="16">
        <v>44394</v>
      </c>
      <c r="Q85" s="15" t="s">
        <v>72</v>
      </c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4"/>
      <c r="AD85" s="4"/>
    </row>
    <row r="86" spans="1:61" x14ac:dyDescent="0.25">
      <c r="P86" s="15"/>
      <c r="Q86" s="15" t="s">
        <v>73</v>
      </c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4"/>
      <c r="AD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</row>
    <row r="87" spans="1:61" x14ac:dyDescent="0.25">
      <c r="A87" s="1" t="s">
        <v>24</v>
      </c>
      <c r="P87" s="15"/>
      <c r="Q87" s="15" t="s">
        <v>74</v>
      </c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4"/>
      <c r="AD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</row>
    <row r="88" spans="1:61" x14ac:dyDescent="0.25">
      <c r="X88" s="1" t="s">
        <v>25</v>
      </c>
      <c r="AC88" s="4"/>
      <c r="AD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</row>
    <row r="89" spans="1:61" x14ac:dyDescent="0.25">
      <c r="A89" s="1" t="s">
        <v>26</v>
      </c>
      <c r="F89" s="4"/>
      <c r="G89" s="5" t="s">
        <v>27</v>
      </c>
      <c r="H89" s="4"/>
      <c r="I89" s="4"/>
      <c r="J89" s="4"/>
      <c r="K89" s="4"/>
      <c r="L89" s="4"/>
      <c r="M89" s="4"/>
      <c r="N89" s="4"/>
      <c r="O89" s="4" t="s">
        <v>28</v>
      </c>
      <c r="P89" s="4"/>
      <c r="Q89" s="4"/>
      <c r="AC89" s="4" t="s">
        <v>29</v>
      </c>
      <c r="AD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</row>
    <row r="90" spans="1:61" x14ac:dyDescent="0.25">
      <c r="B90" s="4"/>
      <c r="C90" s="1" t="s">
        <v>30</v>
      </c>
      <c r="D90" s="1" t="s">
        <v>31</v>
      </c>
      <c r="E90" s="1" t="s">
        <v>32</v>
      </c>
      <c r="G90" s="4"/>
      <c r="H90" s="5" t="s">
        <v>33</v>
      </c>
      <c r="I90" s="4"/>
      <c r="J90" s="4"/>
      <c r="K90" s="4"/>
      <c r="L90" s="4"/>
      <c r="M90" s="4"/>
      <c r="N90" s="4"/>
      <c r="O90" s="4"/>
      <c r="P90" s="4"/>
      <c r="Q90" s="1" t="s">
        <v>30</v>
      </c>
      <c r="R90" s="1" t="s">
        <v>31</v>
      </c>
      <c r="S90" s="1" t="s">
        <v>32</v>
      </c>
      <c r="AC90" s="4"/>
      <c r="AD90" s="4"/>
      <c r="AE90" s="1" t="s">
        <v>30</v>
      </c>
      <c r="AF90" s="1" t="s">
        <v>31</v>
      </c>
      <c r="AG90" s="1" t="s">
        <v>32</v>
      </c>
      <c r="AR90" s="4" t="s">
        <v>60</v>
      </c>
      <c r="AS90" s="1" t="s">
        <v>30</v>
      </c>
      <c r="AT90" s="1" t="s">
        <v>31</v>
      </c>
      <c r="AU90" s="1" t="s">
        <v>32</v>
      </c>
      <c r="AX90" s="15" t="s">
        <v>76</v>
      </c>
      <c r="AY90" s="15"/>
      <c r="AZ90" s="15"/>
      <c r="BA90" s="15"/>
      <c r="BB90" s="4"/>
      <c r="BC90" s="4"/>
      <c r="BD90" s="4"/>
      <c r="BE90" s="4"/>
      <c r="BF90" s="4"/>
      <c r="BG90" s="4"/>
      <c r="BH90" s="4"/>
      <c r="BI90" s="4"/>
    </row>
    <row r="91" spans="1:61" x14ac:dyDescent="0.25">
      <c r="B91" s="4" t="s">
        <v>22</v>
      </c>
      <c r="C91" s="1">
        <v>8</v>
      </c>
      <c r="G91" s="4"/>
      <c r="H91" s="4"/>
      <c r="I91" s="4"/>
      <c r="J91" s="4"/>
      <c r="K91" s="4"/>
      <c r="L91" s="4"/>
      <c r="M91" s="4"/>
      <c r="N91" s="4"/>
      <c r="O91" s="4"/>
      <c r="P91" s="4" t="s">
        <v>22</v>
      </c>
      <c r="Q91" s="1">
        <v>8</v>
      </c>
      <c r="V91" s="15" t="s">
        <v>75</v>
      </c>
      <c r="W91" s="15"/>
      <c r="X91" s="15"/>
      <c r="Y91" s="15"/>
      <c r="AC91" s="4"/>
      <c r="AD91" s="4" t="s">
        <v>22</v>
      </c>
      <c r="AE91" s="1">
        <v>1</v>
      </c>
      <c r="AR91" s="4" t="s">
        <v>22</v>
      </c>
      <c r="AS91" s="1">
        <v>1</v>
      </c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</row>
    <row r="92" spans="1:61" x14ac:dyDescent="0.25">
      <c r="B92" s="1" t="s">
        <v>23</v>
      </c>
      <c r="C92" s="1">
        <v>1</v>
      </c>
      <c r="G92" s="4"/>
      <c r="H92" s="4"/>
      <c r="I92" s="4"/>
      <c r="J92" s="4"/>
      <c r="K92" s="4"/>
      <c r="L92" s="4"/>
      <c r="M92" s="4"/>
      <c r="N92" s="4"/>
      <c r="O92" s="4"/>
      <c r="P92" s="1" t="s">
        <v>23</v>
      </c>
      <c r="Q92" s="1">
        <v>1</v>
      </c>
      <c r="AC92" s="4"/>
      <c r="AD92" s="1" t="s">
        <v>23</v>
      </c>
      <c r="AE92" s="1">
        <v>1</v>
      </c>
      <c r="AR92" s="1" t="s">
        <v>23</v>
      </c>
      <c r="AS92" s="1">
        <v>1</v>
      </c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</row>
    <row r="93" spans="1:61" x14ac:dyDescent="0.25">
      <c r="B93" s="1" t="s">
        <v>34</v>
      </c>
      <c r="C93" s="1">
        <v>9</v>
      </c>
      <c r="G93" s="4"/>
      <c r="H93" s="4"/>
      <c r="I93" s="15"/>
      <c r="J93" s="15"/>
      <c r="K93" s="15"/>
      <c r="L93" s="15"/>
      <c r="M93" s="15"/>
      <c r="N93" s="15"/>
      <c r="O93" s="4"/>
      <c r="P93" s="1" t="s">
        <v>34</v>
      </c>
      <c r="Q93" s="1">
        <v>9</v>
      </c>
      <c r="Y93" s="1" t="s">
        <v>6</v>
      </c>
      <c r="AC93" s="4"/>
      <c r="AD93" s="1" t="s">
        <v>34</v>
      </c>
      <c r="AE93" s="1">
        <v>2</v>
      </c>
      <c r="AR93" s="1" t="s">
        <v>34</v>
      </c>
      <c r="AS93" s="1">
        <v>2</v>
      </c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</row>
    <row r="94" spans="1:61" x14ac:dyDescent="0.25">
      <c r="B94" s="1" t="s">
        <v>14</v>
      </c>
      <c r="D94" s="1">
        <v>0.2</v>
      </c>
      <c r="F94" s="1" t="s">
        <v>4</v>
      </c>
      <c r="G94" s="4"/>
      <c r="H94" s="4"/>
      <c r="I94" s="15"/>
      <c r="J94" s="15"/>
      <c r="K94" s="15"/>
      <c r="L94" s="15" t="s">
        <v>68</v>
      </c>
      <c r="M94" s="15"/>
      <c r="N94" s="15"/>
      <c r="O94" s="4"/>
      <c r="P94" s="1" t="s">
        <v>14</v>
      </c>
      <c r="R94" s="1">
        <v>1</v>
      </c>
      <c r="T94" s="1" t="s">
        <v>4</v>
      </c>
      <c r="AC94" s="4"/>
      <c r="AD94" s="1" t="s">
        <v>14</v>
      </c>
      <c r="AF94" s="1">
        <v>0.2</v>
      </c>
      <c r="AH94" s="1" t="s">
        <v>4</v>
      </c>
      <c r="AR94" s="1" t="s">
        <v>14</v>
      </c>
      <c r="AT94" s="1">
        <v>0.2</v>
      </c>
      <c r="AV94" s="1" t="s">
        <v>4</v>
      </c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61" x14ac:dyDescent="0.25">
      <c r="B95" s="1" t="s">
        <v>35</v>
      </c>
      <c r="D95" s="1">
        <v>0.45</v>
      </c>
      <c r="F95" s="1">
        <v>0.9</v>
      </c>
      <c r="G95" s="4"/>
      <c r="H95" s="4"/>
      <c r="I95" s="4"/>
      <c r="J95" s="4"/>
      <c r="K95" s="4"/>
      <c r="L95" s="4"/>
      <c r="M95" s="4"/>
      <c r="N95" s="4"/>
      <c r="O95" s="4"/>
      <c r="P95" s="1" t="s">
        <v>35</v>
      </c>
      <c r="R95" s="1">
        <v>0.9</v>
      </c>
      <c r="T95" s="1">
        <f>R95</f>
        <v>0.9</v>
      </c>
      <c r="AC95" s="4"/>
      <c r="AD95" s="1" t="s">
        <v>35</v>
      </c>
      <c r="AF95" s="1">
        <v>0.45</v>
      </c>
      <c r="AH95" s="1">
        <v>0.45</v>
      </c>
      <c r="AR95" s="1" t="s">
        <v>35</v>
      </c>
      <c r="AT95" s="1">
        <v>0.9</v>
      </c>
      <c r="AV95" s="1">
        <f>AT95</f>
        <v>0.9</v>
      </c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spans="1:61" x14ac:dyDescent="0.25">
      <c r="B96" s="1" t="s">
        <v>36</v>
      </c>
      <c r="D96" s="1">
        <v>1.96116135138184</v>
      </c>
      <c r="F96" s="1">
        <f>(D99-F95)^2</f>
        <v>1.2325951644078309E-32</v>
      </c>
      <c r="G96" s="4"/>
      <c r="H96" s="4"/>
      <c r="I96" s="4"/>
      <c r="J96" s="4"/>
      <c r="K96" s="4"/>
      <c r="L96" s="4"/>
      <c r="M96" s="4"/>
      <c r="N96" s="4"/>
      <c r="O96" s="4"/>
      <c r="P96" s="1" t="s">
        <v>36</v>
      </c>
      <c r="R96" s="1">
        <v>0.70710678118654746</v>
      </c>
      <c r="T96" s="1">
        <f>(R99-T95)^2</f>
        <v>0</v>
      </c>
      <c r="AC96" s="4"/>
      <c r="AD96" s="1" t="s">
        <v>36</v>
      </c>
      <c r="AF96" s="1">
        <f>R96</f>
        <v>0.70710678118654746</v>
      </c>
      <c r="AH96" s="1">
        <f>(AF99-AH95)^2</f>
        <v>1.5750346687416868E-2</v>
      </c>
      <c r="AR96" s="1" t="s">
        <v>36</v>
      </c>
      <c r="AT96" s="1">
        <v>0.98058067569092011</v>
      </c>
      <c r="AV96" s="1">
        <f>(AT99-AV95)^2</f>
        <v>0</v>
      </c>
      <c r="AX96" s="4"/>
      <c r="AY96" s="8"/>
      <c r="AZ96" s="8"/>
      <c r="BA96" s="4"/>
      <c r="BB96" s="4"/>
      <c r="BC96" s="4"/>
      <c r="BD96" s="4"/>
      <c r="BE96" s="4"/>
      <c r="BF96" s="4"/>
      <c r="BG96" s="4"/>
    </row>
    <row r="97" spans="1:59" x14ac:dyDescent="0.25">
      <c r="C97" s="4" t="s">
        <v>37</v>
      </c>
      <c r="D97" s="1">
        <v>1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 t="s">
        <v>37</v>
      </c>
      <c r="R97" s="1">
        <v>1</v>
      </c>
      <c r="Y97" s="8"/>
      <c r="Z97" s="8"/>
      <c r="AC97" s="4"/>
      <c r="AD97" s="4"/>
      <c r="AE97" s="4" t="s">
        <v>37</v>
      </c>
      <c r="AF97" s="1">
        <v>1</v>
      </c>
      <c r="AR97" s="4"/>
      <c r="AS97" s="4" t="s">
        <v>37</v>
      </c>
      <c r="AT97" s="1">
        <v>1</v>
      </c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spans="1:59" s="4" customFormat="1" x14ac:dyDescent="0.25">
      <c r="A98" s="4" t="s">
        <v>38</v>
      </c>
      <c r="B98" s="4" t="s">
        <v>39</v>
      </c>
      <c r="C98" s="4" t="s">
        <v>40</v>
      </c>
      <c r="D98" s="4" t="s">
        <v>41</v>
      </c>
      <c r="E98" s="4" t="s">
        <v>42</v>
      </c>
      <c r="F98" s="4" t="s">
        <v>43</v>
      </c>
      <c r="G98" s="4" t="s">
        <v>44</v>
      </c>
      <c r="H98" s="1">
        <f>C99-C113</f>
        <v>0.20588235294117674</v>
      </c>
      <c r="P98" s="4" t="s">
        <v>39</v>
      </c>
      <c r="Q98" s="4" t="s">
        <v>40</v>
      </c>
      <c r="R98" s="4" t="s">
        <v>41</v>
      </c>
      <c r="S98" s="4" t="s">
        <v>42</v>
      </c>
      <c r="T98" s="4" t="s">
        <v>43</v>
      </c>
      <c r="U98" s="4" t="s">
        <v>44</v>
      </c>
      <c r="V98" s="4">
        <f>Q99-Q108</f>
        <v>8.333333333333337E-2</v>
      </c>
      <c r="AD98" s="4" t="s">
        <v>39</v>
      </c>
      <c r="AE98" s="4" t="s">
        <v>40</v>
      </c>
      <c r="AF98" s="4" t="s">
        <v>41</v>
      </c>
      <c r="AG98" s="4" t="s">
        <v>42</v>
      </c>
      <c r="AH98" s="4" t="s">
        <v>43</v>
      </c>
      <c r="AI98" s="4" t="s">
        <v>44</v>
      </c>
      <c r="AJ98" s="4">
        <f>AE99-AE113</f>
        <v>0.53846153846153877</v>
      </c>
      <c r="AP98" s="4" t="s">
        <v>57</v>
      </c>
      <c r="AR98" s="4" t="s">
        <v>39</v>
      </c>
      <c r="AS98" s="4" t="s">
        <v>40</v>
      </c>
      <c r="AT98" s="4" t="s">
        <v>41</v>
      </c>
      <c r="AU98" s="4" t="s">
        <v>42</v>
      </c>
      <c r="AV98" s="4" t="s">
        <v>43</v>
      </c>
      <c r="AW98" s="4" t="s">
        <v>44</v>
      </c>
      <c r="AX98" s="4">
        <f>AS99-AS108</f>
        <v>0.29032258064516159</v>
      </c>
    </row>
    <row r="99" spans="1:59" s="4" customFormat="1" x14ac:dyDescent="0.25">
      <c r="A99" s="4">
        <f>1-B99</f>
        <v>0</v>
      </c>
      <c r="B99" s="4">
        <v>1</v>
      </c>
      <c r="C99" s="4">
        <f>C$93*$B99*C$92/(1+$B99*C$91*C$92)</f>
        <v>1</v>
      </c>
      <c r="D99" s="4">
        <f>D$97*(D$96*(D$95*SQRT(D$94^2+$B99^2)))</f>
        <v>0.89999999999999991</v>
      </c>
      <c r="E99" s="1">
        <f t="shared" ref="E99:E119" si="5">C99-D99</f>
        <v>0.10000000000000009</v>
      </c>
      <c r="F99" s="4">
        <f t="shared" ref="F99:F120" si="6">(C$99-C99)/D99</f>
        <v>0</v>
      </c>
      <c r="G99" s="4" t="s">
        <v>45</v>
      </c>
      <c r="H99" s="1">
        <f>D113</f>
        <v>0.31819805153394609</v>
      </c>
      <c r="N99" s="4">
        <f>T95</f>
        <v>0.9</v>
      </c>
      <c r="O99" s="4">
        <f>1-P99</f>
        <v>0</v>
      </c>
      <c r="P99" s="4">
        <v>1</v>
      </c>
      <c r="Q99" s="4">
        <f>Q$93*$P99*Q$92/(1+$P99*Q$91*Q$92)</f>
        <v>1</v>
      </c>
      <c r="R99" s="4">
        <f>R$97*(R$96*(R$95*SQRT(R$94^2+$P99^2)))</f>
        <v>0.9</v>
      </c>
      <c r="S99" s="1">
        <f>Q99-R99</f>
        <v>9.9999999999999978E-2</v>
      </c>
      <c r="T99" s="4">
        <f>(Q99-Q99)/R99</f>
        <v>0</v>
      </c>
      <c r="U99" s="4" t="s">
        <v>45</v>
      </c>
      <c r="V99" s="4">
        <f>R108</f>
        <v>0.72630055762060364</v>
      </c>
      <c r="AC99" s="4">
        <f>1-AD99</f>
        <v>0</v>
      </c>
      <c r="AD99" s="4">
        <v>1</v>
      </c>
      <c r="AE99" s="4">
        <f t="shared" ref="AE99:AE119" si="7">AE$93*$AD99*AE$92/(1+$AD99*AE$91*AE$92)</f>
        <v>1</v>
      </c>
      <c r="AF99" s="4">
        <f t="shared" ref="AF99:AF119" si="8">AF$97*(AF$96*(AF$95*SQRT(AF$94^2+$P99^2)))</f>
        <v>0.32449961479175904</v>
      </c>
      <c r="AG99" s="1">
        <f t="shared" ref="AG99:AG119" si="9">AE99-AF99</f>
        <v>0.67550038520824096</v>
      </c>
      <c r="AH99" s="4">
        <f>(AE99-AE99)/AF99</f>
        <v>0</v>
      </c>
      <c r="AI99" s="4" t="s">
        <v>45</v>
      </c>
      <c r="AJ99" s="4">
        <f>AF113</f>
        <v>0.11472793905583756</v>
      </c>
      <c r="AP99" s="4">
        <f>AV95</f>
        <v>0.9</v>
      </c>
      <c r="AQ99" s="4">
        <f>1-AR99</f>
        <v>0</v>
      </c>
      <c r="AR99" s="4">
        <v>1</v>
      </c>
      <c r="AS99" s="4">
        <f t="shared" ref="AS99:AS119" si="10">AS$93*$AR99*AS$92/(1+$AR99*AS$91*AS$92)</f>
        <v>1</v>
      </c>
      <c r="AT99" s="4">
        <f t="shared" ref="AT99:AT119" si="11">AT$97*(AT$96*(AT$95*SQRT(AT$94^2+$P99^2)))</f>
        <v>0.9</v>
      </c>
      <c r="AU99" s="1">
        <f t="shared" ref="AU99:AU119" si="12">AS99-AT99</f>
        <v>9.9999999999999978E-2</v>
      </c>
      <c r="AV99" s="4">
        <f>(AS99-AS99)/AT99</f>
        <v>0</v>
      </c>
      <c r="AW99" s="4" t="s">
        <v>45</v>
      </c>
      <c r="AX99" s="4">
        <f>AT108</f>
        <v>0.5164831146245803</v>
      </c>
    </row>
    <row r="100" spans="1:59" s="4" customFormat="1" x14ac:dyDescent="0.25">
      <c r="A100" s="4">
        <f t="shared" ref="A100:A120" si="13">1-B100</f>
        <v>5.0000000000000044E-2</v>
      </c>
      <c r="B100" s="4">
        <f t="shared" ref="B100:B114" si="14">B99-0.05</f>
        <v>0.95</v>
      </c>
      <c r="C100" s="4">
        <f t="shared" ref="C100:C119" si="15">C$93*$B100*C$92/(1+$B100*C$91*C$92)</f>
        <v>0.99418604651162779</v>
      </c>
      <c r="D100" s="4">
        <f t="shared" ref="D100:D120" si="16">D$97*(D$96*(D$95*SQRT(D$94^2+$B100^2)))</f>
        <v>0.85677447440968946</v>
      </c>
      <c r="E100" s="1">
        <f t="shared" si="5"/>
        <v>0.13741157210193833</v>
      </c>
      <c r="F100" s="4">
        <f t="shared" si="6"/>
        <v>6.7858621632932992E-3</v>
      </c>
      <c r="G100" s="4" t="s">
        <v>43</v>
      </c>
      <c r="H100" s="1">
        <f>H98/H99</f>
        <v>0.64702581285043703</v>
      </c>
      <c r="N100" s="4">
        <f>N99</f>
        <v>0.9</v>
      </c>
      <c r="O100" s="4">
        <f t="shared" ref="O100:O120" si="17">1-P100</f>
        <v>5.0000000000000044E-2</v>
      </c>
      <c r="P100" s="4">
        <f t="shared" ref="P100:P114" si="18">P99-0.05</f>
        <v>0.95</v>
      </c>
      <c r="Q100" s="4">
        <f t="shared" ref="Q100:Q118" si="19">Q$93*$P100*Q$92/(1+$P100*Q$91*Q$92)</f>
        <v>0.99418604651162779</v>
      </c>
      <c r="R100" s="4">
        <f t="shared" ref="R100:R119" si="20">R$97*(R$96*(R$95*SQRT(R$94^2+$P100^2)))</f>
        <v>0.87778841414090203</v>
      </c>
      <c r="S100" s="1">
        <f t="shared" ref="S100:S119" si="21">Q100-R100</f>
        <v>0.11639763237072576</v>
      </c>
      <c r="T100" s="4">
        <f>(Q99-Q100)/R100</f>
        <v>6.6234110575068067E-3</v>
      </c>
      <c r="U100" s="4" t="s">
        <v>43</v>
      </c>
      <c r="V100" s="4">
        <f>V98/V99</f>
        <v>0.11473670570533151</v>
      </c>
      <c r="AC100" s="4">
        <f t="shared" ref="AC100:AC120" si="22">1-AD100</f>
        <v>5.0000000000000044E-2</v>
      </c>
      <c r="AD100" s="4">
        <f t="shared" ref="AD100:AD114" si="23">AD99-0.05</f>
        <v>0.95</v>
      </c>
      <c r="AE100" s="4">
        <f t="shared" si="7"/>
        <v>0.97435897435897434</v>
      </c>
      <c r="AF100" s="4">
        <f t="shared" si="8"/>
        <v>0.30891442989928453</v>
      </c>
      <c r="AG100" s="1">
        <f t="shared" si="9"/>
        <v>0.66544454445968981</v>
      </c>
      <c r="AH100" s="4">
        <f>(AE99-AE100)/AF100</f>
        <v>8.300365136515446E-2</v>
      </c>
      <c r="AI100" s="4" t="s">
        <v>43</v>
      </c>
      <c r="AJ100" s="4">
        <f>AJ98/AJ99</f>
        <v>4.693377593050565</v>
      </c>
      <c r="AP100" s="4">
        <f>AP99</f>
        <v>0.9</v>
      </c>
      <c r="AQ100" s="4">
        <f t="shared" ref="AQ100:AQ120" si="24">1-AR100</f>
        <v>5.0000000000000044E-2</v>
      </c>
      <c r="AR100" s="4">
        <f t="shared" ref="AR100:AR114" si="25">AR99-0.05</f>
        <v>0.95</v>
      </c>
      <c r="AS100" s="4">
        <f t="shared" si="10"/>
        <v>0.97435897435897434</v>
      </c>
      <c r="AT100" s="4">
        <f t="shared" si="11"/>
        <v>0.85677447440968957</v>
      </c>
      <c r="AU100" s="1">
        <f t="shared" si="12"/>
        <v>0.11758449994928477</v>
      </c>
      <c r="AV100" s="4">
        <f>(AS99-AS100)/AT100</f>
        <v>2.9927392104780098E-2</v>
      </c>
      <c r="AW100" s="4" t="s">
        <v>43</v>
      </c>
      <c r="AX100" s="4">
        <f>AX98/AX99</f>
        <v>0.56211437010131571</v>
      </c>
    </row>
    <row r="101" spans="1:59" s="4" customFormat="1" x14ac:dyDescent="0.25">
      <c r="A101" s="4">
        <f t="shared" si="13"/>
        <v>0.10000000000000009</v>
      </c>
      <c r="B101" s="4">
        <f t="shared" si="14"/>
        <v>0.89999999999999991</v>
      </c>
      <c r="C101" s="4">
        <f t="shared" si="15"/>
        <v>0.98780487804878048</v>
      </c>
      <c r="D101" s="4">
        <f>D$97*(D$96*(D$95*SQRT(D$94^2+$B101^2)))</f>
        <v>0.81364564201452616</v>
      </c>
      <c r="E101" s="1">
        <f t="shared" si="5"/>
        <v>0.17415923603425432</v>
      </c>
      <c r="F101" s="4">
        <f t="shared" si="6"/>
        <v>1.498824712073097E-2</v>
      </c>
      <c r="G101" s="4" t="s">
        <v>46</v>
      </c>
      <c r="H101" s="1">
        <f>E113</f>
        <v>0.47591959552487717</v>
      </c>
      <c r="N101" s="4">
        <f t="shared" ref="N101:N119" si="26">N100</f>
        <v>0.9</v>
      </c>
      <c r="O101" s="4">
        <f t="shared" si="17"/>
        <v>0.10000000000000009</v>
      </c>
      <c r="P101" s="4">
        <f t="shared" si="18"/>
        <v>0.89999999999999991</v>
      </c>
      <c r="Q101" s="4">
        <f t="shared" si="19"/>
        <v>0.98780487804878048</v>
      </c>
      <c r="R101" s="4">
        <f t="shared" si="20"/>
        <v>0.85618339156982004</v>
      </c>
      <c r="S101" s="1">
        <f t="shared" si="21"/>
        <v>0.13162148647896044</v>
      </c>
      <c r="T101" s="4">
        <f>(Q99-Q101)/R101</f>
        <v>1.424358621213109E-2</v>
      </c>
      <c r="U101" s="4" t="s">
        <v>46</v>
      </c>
      <c r="V101" s="4">
        <f>S108</f>
        <v>0.19036610904606299</v>
      </c>
      <c r="AC101" s="4">
        <f t="shared" si="22"/>
        <v>0.10000000000000009</v>
      </c>
      <c r="AD101" s="4">
        <f t="shared" si="23"/>
        <v>0.89999999999999991</v>
      </c>
      <c r="AE101" s="4">
        <f t="shared" si="7"/>
        <v>0.94736842105263153</v>
      </c>
      <c r="AF101" s="4">
        <f t="shared" si="8"/>
        <v>0.29336410823411913</v>
      </c>
      <c r="AG101" s="1">
        <f t="shared" si="9"/>
        <v>0.65400431281851246</v>
      </c>
      <c r="AH101" s="4">
        <f>(AE99-AE101)/AF101</f>
        <v>0.17940701493505765</v>
      </c>
      <c r="AI101" s="4" t="s">
        <v>46</v>
      </c>
      <c r="AJ101" s="4">
        <f>AG113</f>
        <v>0.34681052248262362</v>
      </c>
      <c r="AP101" s="4">
        <f t="shared" ref="AP101:AP119" si="27">AP100</f>
        <v>0.9</v>
      </c>
      <c r="AQ101" s="4">
        <f t="shared" si="24"/>
        <v>0.10000000000000009</v>
      </c>
      <c r="AR101" s="4">
        <f t="shared" si="25"/>
        <v>0.89999999999999991</v>
      </c>
      <c r="AS101" s="4">
        <f t="shared" si="10"/>
        <v>0.94736842105263153</v>
      </c>
      <c r="AT101" s="4">
        <f t="shared" si="11"/>
        <v>0.81364564201452627</v>
      </c>
      <c r="AU101" s="1">
        <f t="shared" si="12"/>
        <v>0.13372277903810526</v>
      </c>
      <c r="AV101" s="4">
        <f>(AS99-AS101)/AT101</f>
        <v>6.4686119152628396E-2</v>
      </c>
      <c r="AW101" s="4" t="s">
        <v>46</v>
      </c>
      <c r="AX101" s="4">
        <f>AU108</f>
        <v>0.19319430473025812</v>
      </c>
    </row>
    <row r="102" spans="1:59" s="4" customFormat="1" x14ac:dyDescent="0.25">
      <c r="A102" s="4">
        <f t="shared" si="13"/>
        <v>0.15000000000000013</v>
      </c>
      <c r="B102" s="4">
        <f t="shared" si="14"/>
        <v>0.84999999999999987</v>
      </c>
      <c r="C102" s="4">
        <f t="shared" si="15"/>
        <v>0.98076923076923073</v>
      </c>
      <c r="D102" s="4">
        <f t="shared" si="16"/>
        <v>0.77062973749245622</v>
      </c>
      <c r="E102" s="1">
        <f t="shared" si="5"/>
        <v>0.2101394932767745</v>
      </c>
      <c r="F102" s="4">
        <f t="shared" si="6"/>
        <v>2.4954616069377319E-2</v>
      </c>
      <c r="G102" s="4" t="s">
        <v>47</v>
      </c>
      <c r="H102" s="1">
        <f>E113/C99</f>
        <v>0.47591959552487717</v>
      </c>
      <c r="N102" s="4">
        <f t="shared" si="26"/>
        <v>0.9</v>
      </c>
      <c r="O102" s="4">
        <f t="shared" si="17"/>
        <v>0.15000000000000013</v>
      </c>
      <c r="P102" s="4">
        <f t="shared" si="18"/>
        <v>0.84999999999999987</v>
      </c>
      <c r="Q102" s="4">
        <f t="shared" si="19"/>
        <v>0.98076923076923073</v>
      </c>
      <c r="R102" s="4">
        <f t="shared" si="20"/>
        <v>0.83523200369717621</v>
      </c>
      <c r="S102" s="1">
        <f t="shared" si="21"/>
        <v>0.14553722707205452</v>
      </c>
      <c r="T102" s="4">
        <f>(Q99-Q102)/R102</f>
        <v>2.3024464035913104E-2</v>
      </c>
      <c r="U102" s="4" t="s">
        <v>47</v>
      </c>
      <c r="V102" s="4">
        <f>S108/Q99</f>
        <v>0.19036610904606299</v>
      </c>
      <c r="AC102" s="4">
        <f t="shared" si="22"/>
        <v>0.15000000000000013</v>
      </c>
      <c r="AD102" s="4">
        <f t="shared" si="23"/>
        <v>0.84999999999999987</v>
      </c>
      <c r="AE102" s="4">
        <f t="shared" si="7"/>
        <v>0.91891891891891886</v>
      </c>
      <c r="AF102" s="4">
        <f t="shared" si="8"/>
        <v>0.2778545032926405</v>
      </c>
      <c r="AG102" s="1">
        <f t="shared" si="9"/>
        <v>0.64106441562627836</v>
      </c>
      <c r="AH102" s="4">
        <f>(AE99-AE102)/AF102</f>
        <v>0.29181129015456458</v>
      </c>
      <c r="AI102" s="4" t="s">
        <v>47</v>
      </c>
      <c r="AJ102" s="4">
        <f>AG113/AE99</f>
        <v>0.34681052248262362</v>
      </c>
      <c r="AP102" s="4">
        <f t="shared" si="27"/>
        <v>0.9</v>
      </c>
      <c r="AQ102" s="4">
        <f t="shared" si="24"/>
        <v>0.15000000000000013</v>
      </c>
      <c r="AR102" s="4">
        <f t="shared" si="25"/>
        <v>0.84999999999999987</v>
      </c>
      <c r="AS102" s="4">
        <f t="shared" si="10"/>
        <v>0.91891891891891886</v>
      </c>
      <c r="AT102" s="4">
        <f t="shared" si="11"/>
        <v>0.77062973749245633</v>
      </c>
      <c r="AU102" s="1">
        <f t="shared" si="12"/>
        <v>0.14828918142646252</v>
      </c>
      <c r="AV102" s="4">
        <f>(AS99-AS102)/AT102</f>
        <v>0.10521405694115826</v>
      </c>
      <c r="AW102" s="4" t="s">
        <v>47</v>
      </c>
      <c r="AX102" s="4">
        <f>AU108/AS99</f>
        <v>0.19319430473025812</v>
      </c>
    </row>
    <row r="103" spans="1:59" s="4" customFormat="1" x14ac:dyDescent="0.25">
      <c r="A103" s="4">
        <f t="shared" si="13"/>
        <v>0.20000000000000018</v>
      </c>
      <c r="B103" s="4">
        <f t="shared" si="14"/>
        <v>0.79999999999999982</v>
      </c>
      <c r="C103" s="4">
        <f t="shared" si="15"/>
        <v>0.97297297297297292</v>
      </c>
      <c r="D103" s="4">
        <f t="shared" si="16"/>
        <v>0.72774678605637566</v>
      </c>
      <c r="E103" s="1">
        <f t="shared" si="5"/>
        <v>0.24522618691659726</v>
      </c>
      <c r="F103" s="4">
        <f t="shared" si="6"/>
        <v>3.7137954498549182E-2</v>
      </c>
      <c r="G103" s="4" t="s">
        <v>48</v>
      </c>
      <c r="H103" s="1">
        <f>D113/D99</f>
        <v>0.35355339059327345</v>
      </c>
      <c r="N103" s="4">
        <f t="shared" si="26"/>
        <v>0.9</v>
      </c>
      <c r="O103" s="4">
        <f t="shared" si="17"/>
        <v>0.20000000000000018</v>
      </c>
      <c r="P103" s="4">
        <f t="shared" si="18"/>
        <v>0.79999999999999982</v>
      </c>
      <c r="Q103" s="4">
        <f t="shared" si="19"/>
        <v>0.97297297297297292</v>
      </c>
      <c r="R103" s="4">
        <f t="shared" si="20"/>
        <v>0.81498466243236733</v>
      </c>
      <c r="S103" s="1">
        <f t="shared" si="21"/>
        <v>0.15798831054060558</v>
      </c>
      <c r="T103" s="4">
        <f>(Q99-Q103)/R103</f>
        <v>3.3162620442896938E-2</v>
      </c>
      <c r="U103" s="4" t="s">
        <v>48</v>
      </c>
      <c r="V103" s="4">
        <f>R108/R99</f>
        <v>0.80700061957844849</v>
      </c>
      <c r="AC103" s="4">
        <f t="shared" si="22"/>
        <v>0.20000000000000018</v>
      </c>
      <c r="AD103" s="4">
        <f t="shared" si="23"/>
        <v>0.79999999999999982</v>
      </c>
      <c r="AE103" s="4">
        <f t="shared" si="7"/>
        <v>0.88888888888888873</v>
      </c>
      <c r="AF103" s="4">
        <f t="shared" si="8"/>
        <v>0.26239283526803847</v>
      </c>
      <c r="AG103" s="1">
        <f t="shared" si="9"/>
        <v>0.62649605362085026</v>
      </c>
      <c r="AH103" s="4">
        <f>(AE99-AE103)/AF103</f>
        <v>0.42345329664817066</v>
      </c>
      <c r="AI103" s="4" t="s">
        <v>48</v>
      </c>
      <c r="AJ103" s="4">
        <f>AF113/AF99</f>
        <v>0.35355339059327345</v>
      </c>
      <c r="AP103" s="4">
        <f t="shared" si="27"/>
        <v>0.9</v>
      </c>
      <c r="AQ103" s="4">
        <f t="shared" si="24"/>
        <v>0.20000000000000018</v>
      </c>
      <c r="AR103" s="4">
        <f t="shared" si="25"/>
        <v>0.79999999999999982</v>
      </c>
      <c r="AS103" s="4">
        <f t="shared" si="10"/>
        <v>0.88888888888888873</v>
      </c>
      <c r="AT103" s="4">
        <f t="shared" si="11"/>
        <v>0.72774678605637577</v>
      </c>
      <c r="AU103" s="1">
        <f t="shared" si="12"/>
        <v>0.16114210283251296</v>
      </c>
      <c r="AV103" s="4">
        <f>(AS99-AS103)/AT103</f>
        <v>0.15267825738292429</v>
      </c>
      <c r="AW103" s="4" t="s">
        <v>48</v>
      </c>
      <c r="AX103" s="4">
        <f>AT108/AT99</f>
        <v>0.5738701273606448</v>
      </c>
    </row>
    <row r="104" spans="1:59" s="4" customFormat="1" x14ac:dyDescent="0.25">
      <c r="A104" s="4">
        <f t="shared" si="13"/>
        <v>0.25000000000000022</v>
      </c>
      <c r="B104" s="4">
        <f t="shared" si="14"/>
        <v>0.74999999999999978</v>
      </c>
      <c r="C104" s="4">
        <f t="shared" si="15"/>
        <v>0.9642857142857143</v>
      </c>
      <c r="D104" s="4">
        <f t="shared" si="16"/>
        <v>0.68502175709411406</v>
      </c>
      <c r="E104" s="1">
        <f t="shared" si="5"/>
        <v>0.27926395719160024</v>
      </c>
      <c r="F104" s="4">
        <f t="shared" si="6"/>
        <v>5.2135987425840212E-2</v>
      </c>
      <c r="N104" s="4">
        <f>N103</f>
        <v>0.9</v>
      </c>
      <c r="O104" s="4">
        <f t="shared" si="17"/>
        <v>0.25000000000000022</v>
      </c>
      <c r="P104" s="4">
        <f t="shared" si="18"/>
        <v>0.74999999999999978</v>
      </c>
      <c r="Q104" s="4">
        <f t="shared" si="19"/>
        <v>0.9642857142857143</v>
      </c>
      <c r="R104" s="4">
        <f t="shared" si="20"/>
        <v>0.79549512883486573</v>
      </c>
      <c r="S104" s="1">
        <f t="shared" si="21"/>
        <v>0.16879058545084857</v>
      </c>
      <c r="T104" s="4">
        <f>(Q99-Q104)/R104</f>
        <v>4.4895668646764919E-2</v>
      </c>
      <c r="AC104" s="4">
        <f t="shared" si="22"/>
        <v>0.25000000000000022</v>
      </c>
      <c r="AD104" s="4">
        <f t="shared" si="23"/>
        <v>0.74999999999999978</v>
      </c>
      <c r="AE104" s="4">
        <f t="shared" si="7"/>
        <v>0.85714285714285698</v>
      </c>
      <c r="AF104" s="4">
        <f t="shared" si="8"/>
        <v>0.24698810700112661</v>
      </c>
      <c r="AG104" s="1">
        <f t="shared" si="9"/>
        <v>0.61015475014173037</v>
      </c>
      <c r="AH104" s="4">
        <f>(AE99-AE104)/AF104</f>
        <v>0.57839684911019373</v>
      </c>
      <c r="AP104" s="4">
        <f t="shared" si="27"/>
        <v>0.9</v>
      </c>
      <c r="AQ104" s="4">
        <f t="shared" si="24"/>
        <v>0.25000000000000022</v>
      </c>
      <c r="AR104" s="4">
        <f t="shared" si="25"/>
        <v>0.74999999999999978</v>
      </c>
      <c r="AS104" s="4">
        <f t="shared" si="10"/>
        <v>0.85714285714285698</v>
      </c>
      <c r="AT104" s="4">
        <f t="shared" si="11"/>
        <v>0.68502175709411406</v>
      </c>
      <c r="AU104" s="1">
        <f t="shared" si="12"/>
        <v>0.17212110004874293</v>
      </c>
      <c r="AV104" s="4">
        <f>(AS99-AS104)/AT104</f>
        <v>0.20854394970336118</v>
      </c>
    </row>
    <row r="105" spans="1:59" s="4" customFormat="1" x14ac:dyDescent="0.25">
      <c r="A105" s="4">
        <f t="shared" si="13"/>
        <v>0.30000000000000027</v>
      </c>
      <c r="B105" s="4">
        <f t="shared" si="14"/>
        <v>0.69999999999999973</v>
      </c>
      <c r="C105" s="4">
        <f t="shared" si="15"/>
        <v>0.95454545454545447</v>
      </c>
      <c r="D105" s="4">
        <f t="shared" si="16"/>
        <v>0.6424861566901352</v>
      </c>
      <c r="E105" s="1">
        <f t="shared" si="5"/>
        <v>0.31205929785531927</v>
      </c>
      <c r="F105" s="4">
        <f t="shared" si="6"/>
        <v>7.0747898583078436E-2</v>
      </c>
      <c r="N105" s="4">
        <f t="shared" si="26"/>
        <v>0.9</v>
      </c>
      <c r="O105" s="4">
        <f t="shared" si="17"/>
        <v>0.30000000000000027</v>
      </c>
      <c r="P105" s="4">
        <f t="shared" si="18"/>
        <v>0.69999999999999973</v>
      </c>
      <c r="Q105" s="4">
        <f t="shared" si="19"/>
        <v>0.95454545454545447</v>
      </c>
      <c r="R105" s="4">
        <f t="shared" si="20"/>
        <v>0.77682044257344296</v>
      </c>
      <c r="S105" s="1">
        <f t="shared" si="21"/>
        <v>0.17772501197201152</v>
      </c>
      <c r="T105" s="4">
        <f>(Q99-Q105)/R105</f>
        <v>5.8513580440756892E-2</v>
      </c>
      <c r="AC105" s="4">
        <f t="shared" si="22"/>
        <v>0.30000000000000027</v>
      </c>
      <c r="AD105" s="4">
        <f t="shared" si="23"/>
        <v>0.69999999999999973</v>
      </c>
      <c r="AE105" s="4">
        <f t="shared" si="7"/>
        <v>0.82352941176470573</v>
      </c>
      <c r="AF105" s="4">
        <f t="shared" si="8"/>
        <v>0.23165167817220736</v>
      </c>
      <c r="AG105" s="1">
        <f t="shared" si="9"/>
        <v>0.5918777335924984</v>
      </c>
      <c r="AH105" s="4">
        <f>(AE99-AE105)/AF105</f>
        <v>0.7617928332213848</v>
      </c>
      <c r="AP105" s="4">
        <f t="shared" si="27"/>
        <v>0.9</v>
      </c>
      <c r="AQ105" s="4">
        <f t="shared" si="24"/>
        <v>0.30000000000000027</v>
      </c>
      <c r="AR105" s="4">
        <f t="shared" si="25"/>
        <v>0.69999999999999973</v>
      </c>
      <c r="AS105" s="4">
        <f t="shared" si="10"/>
        <v>0.82352941176470573</v>
      </c>
      <c r="AT105" s="4">
        <f t="shared" si="11"/>
        <v>0.64248615669013531</v>
      </c>
      <c r="AU105" s="1">
        <f t="shared" si="12"/>
        <v>0.18104325507457042</v>
      </c>
      <c r="AV105" s="4">
        <f>(AS99-AS105)/AT105</f>
        <v>0.27466831214606896</v>
      </c>
    </row>
    <row r="106" spans="1:59" s="4" customFormat="1" x14ac:dyDescent="0.25">
      <c r="A106" s="4">
        <f t="shared" si="13"/>
        <v>0.35000000000000031</v>
      </c>
      <c r="B106" s="4">
        <f t="shared" si="14"/>
        <v>0.64999999999999969</v>
      </c>
      <c r="C106" s="4">
        <f t="shared" si="15"/>
        <v>0.94354838709677413</v>
      </c>
      <c r="D106" s="4">
        <f t="shared" si="16"/>
        <v>0.60018026138306624</v>
      </c>
      <c r="E106" s="4">
        <f t="shared" si="5"/>
        <v>0.34336812571370789</v>
      </c>
      <c r="F106" s="4">
        <f t="shared" si="6"/>
        <v>9.4057763201238487E-2</v>
      </c>
      <c r="N106" s="4">
        <f t="shared" si="26"/>
        <v>0.9</v>
      </c>
      <c r="O106" s="4">
        <f t="shared" si="17"/>
        <v>0.35000000000000031</v>
      </c>
      <c r="P106" s="4">
        <f t="shared" si="18"/>
        <v>0.64999999999999969</v>
      </c>
      <c r="Q106" s="4">
        <f t="shared" si="19"/>
        <v>0.94354838709677413</v>
      </c>
      <c r="R106" s="4">
        <f t="shared" si="20"/>
        <v>0.75902075070448483</v>
      </c>
      <c r="S106" s="4">
        <f t="shared" si="21"/>
        <v>0.18452763639228931</v>
      </c>
      <c r="T106" s="4">
        <f>(Q99-Q106)/R106</f>
        <v>7.4374268227621346E-2</v>
      </c>
      <c r="AC106" s="4">
        <f t="shared" si="22"/>
        <v>0.35000000000000031</v>
      </c>
      <c r="AD106" s="4">
        <f t="shared" si="23"/>
        <v>0.64999999999999969</v>
      </c>
      <c r="AE106" s="4">
        <f t="shared" si="7"/>
        <v>0.78787878787878762</v>
      </c>
      <c r="AF106" s="4">
        <f t="shared" si="8"/>
        <v>0.21639807069380254</v>
      </c>
      <c r="AG106" s="4">
        <f t="shared" si="9"/>
        <v>0.57148071718498505</v>
      </c>
      <c r="AH106" s="4">
        <f>(AE99-AE106)/AF106</f>
        <v>0.98023615201892533</v>
      </c>
      <c r="AP106" s="4">
        <f t="shared" si="27"/>
        <v>0.9</v>
      </c>
      <c r="AQ106" s="4">
        <f t="shared" si="24"/>
        <v>0.35000000000000031</v>
      </c>
      <c r="AR106" s="4">
        <f t="shared" si="25"/>
        <v>0.64999999999999969</v>
      </c>
      <c r="AS106" s="4">
        <f t="shared" si="10"/>
        <v>0.78787878787878762</v>
      </c>
      <c r="AT106" s="4">
        <f t="shared" si="11"/>
        <v>0.60018026138306635</v>
      </c>
      <c r="AU106" s="4">
        <f t="shared" si="12"/>
        <v>0.18769852649572127</v>
      </c>
      <c r="AV106" s="4">
        <f>(AS99-AS106)/AT106</f>
        <v>0.35342917081677494</v>
      </c>
    </row>
    <row r="107" spans="1:59" s="4" customFormat="1" x14ac:dyDescent="0.25">
      <c r="A107" s="4">
        <f t="shared" si="13"/>
        <v>0.40000000000000036</v>
      </c>
      <c r="B107" s="4">
        <f t="shared" si="14"/>
        <v>0.59999999999999964</v>
      </c>
      <c r="C107" s="4">
        <f t="shared" si="15"/>
        <v>0.93103448275862055</v>
      </c>
      <c r="D107" s="4">
        <f t="shared" si="16"/>
        <v>0.5581563056514377</v>
      </c>
      <c r="E107" s="4">
        <f t="shared" si="5"/>
        <v>0.37287817710718285</v>
      </c>
      <c r="F107" s="4">
        <f t="shared" si="6"/>
        <v>0.1235595057210509</v>
      </c>
      <c r="N107" s="4">
        <f t="shared" si="26"/>
        <v>0.9</v>
      </c>
      <c r="O107" s="4">
        <f t="shared" si="17"/>
        <v>0.40000000000000036</v>
      </c>
      <c r="P107" s="4">
        <f t="shared" si="18"/>
        <v>0.59999999999999964</v>
      </c>
      <c r="Q107" s="4">
        <f t="shared" si="19"/>
        <v>0.93103448275862055</v>
      </c>
      <c r="R107" s="4">
        <f t="shared" si="20"/>
        <v>0.74215901261117889</v>
      </c>
      <c r="S107" s="4">
        <f t="shared" si="21"/>
        <v>0.18887547014744166</v>
      </c>
      <c r="T107" s="4">
        <f>(Q99-Q107)/R107</f>
        <v>9.2925526833844238E-2</v>
      </c>
      <c r="AC107" s="4">
        <f t="shared" si="22"/>
        <v>0.40000000000000036</v>
      </c>
      <c r="AD107" s="4">
        <f t="shared" si="23"/>
        <v>0.59999999999999964</v>
      </c>
      <c r="AE107" s="4">
        <f t="shared" si="7"/>
        <v>0.74999999999999967</v>
      </c>
      <c r="AF107" s="4">
        <f t="shared" si="8"/>
        <v>0.20124611797498096</v>
      </c>
      <c r="AG107" s="4">
        <f t="shared" si="9"/>
        <v>0.54875388202501874</v>
      </c>
      <c r="AH107" s="4">
        <f>(AE99-AE107)/AF107</f>
        <v>1.2422599874998854</v>
      </c>
      <c r="AP107" s="4">
        <f t="shared" si="27"/>
        <v>0.9</v>
      </c>
      <c r="AQ107" s="4">
        <f t="shared" si="24"/>
        <v>0.40000000000000036</v>
      </c>
      <c r="AR107" s="4">
        <f t="shared" si="25"/>
        <v>0.59999999999999964</v>
      </c>
      <c r="AS107" s="4">
        <f t="shared" si="10"/>
        <v>0.74999999999999967</v>
      </c>
      <c r="AT107" s="4">
        <f t="shared" si="11"/>
        <v>0.5581563056514377</v>
      </c>
      <c r="AU107" s="4">
        <f t="shared" si="12"/>
        <v>0.19184369434856197</v>
      </c>
      <c r="AV107" s="4">
        <f>(AS99-AS107)/AT107</f>
        <v>0.44790320823880919</v>
      </c>
    </row>
    <row r="108" spans="1:59" s="4" customFormat="1" x14ac:dyDescent="0.25">
      <c r="A108" s="4">
        <f t="shared" si="13"/>
        <v>0.4500000000000004</v>
      </c>
      <c r="B108" s="4">
        <f t="shared" si="14"/>
        <v>0.5499999999999996</v>
      </c>
      <c r="C108" s="4">
        <f t="shared" si="15"/>
        <v>0.91666666666666663</v>
      </c>
      <c r="D108" s="4">
        <f t="shared" si="16"/>
        <v>0.5164831146245803</v>
      </c>
      <c r="E108" s="4">
        <f t="shared" si="5"/>
        <v>0.40018355204208633</v>
      </c>
      <c r="F108" s="4">
        <f t="shared" si="6"/>
        <v>0.16134764326982201</v>
      </c>
      <c r="N108" s="4">
        <f t="shared" si="26"/>
        <v>0.9</v>
      </c>
      <c r="O108" s="4">
        <f t="shared" si="17"/>
        <v>0.4500000000000004</v>
      </c>
      <c r="P108" s="4">
        <f t="shared" si="18"/>
        <v>0.5499999999999996</v>
      </c>
      <c r="Q108" s="4">
        <f t="shared" si="19"/>
        <v>0.91666666666666663</v>
      </c>
      <c r="R108" s="4">
        <f t="shared" si="20"/>
        <v>0.72630055762060364</v>
      </c>
      <c r="S108" s="4">
        <f t="shared" si="21"/>
        <v>0.19036610904606299</v>
      </c>
      <c r="T108" s="4">
        <f>(Q107-Q108)/R108</f>
        <v>1.9782190638850113E-2</v>
      </c>
      <c r="AC108" s="4">
        <f t="shared" si="22"/>
        <v>0.4500000000000004</v>
      </c>
      <c r="AD108" s="4">
        <f t="shared" si="23"/>
        <v>0.5499999999999996</v>
      </c>
      <c r="AE108" s="4">
        <f t="shared" si="7"/>
        <v>0.70967741935483841</v>
      </c>
      <c r="AF108" s="4">
        <f t="shared" si="8"/>
        <v>0.18622063526902694</v>
      </c>
      <c r="AG108" s="4">
        <f t="shared" si="9"/>
        <v>0.52345678408581153</v>
      </c>
      <c r="AH108" s="4">
        <f>(AE107-AE108)/AF108</f>
        <v>0.2165312162473752</v>
      </c>
      <c r="AP108" s="4">
        <f t="shared" si="27"/>
        <v>0.9</v>
      </c>
      <c r="AQ108" s="4">
        <f t="shared" si="24"/>
        <v>0.4500000000000004</v>
      </c>
      <c r="AR108" s="4">
        <f t="shared" si="25"/>
        <v>0.5499999999999996</v>
      </c>
      <c r="AS108" s="4">
        <f t="shared" si="10"/>
        <v>0.70967741935483841</v>
      </c>
      <c r="AT108" s="4">
        <f t="shared" si="11"/>
        <v>0.5164831146245803</v>
      </c>
      <c r="AU108" s="4">
        <f t="shared" si="12"/>
        <v>0.19319430473025812</v>
      </c>
      <c r="AV108" s="4">
        <f>(AS107-AS108)/AT108</f>
        <v>7.8071440291849259E-2</v>
      </c>
    </row>
    <row r="109" spans="1:59" s="4" customFormat="1" x14ac:dyDescent="0.25">
      <c r="A109" s="4">
        <f t="shared" si="13"/>
        <v>0.50000000000000044</v>
      </c>
      <c r="B109" s="4">
        <f t="shared" si="14"/>
        <v>0.49999999999999961</v>
      </c>
      <c r="C109" s="4">
        <f t="shared" si="15"/>
        <v>0.89999999999999991</v>
      </c>
      <c r="D109" s="4">
        <f t="shared" si="16"/>
        <v>0.47525296907582198</v>
      </c>
      <c r="E109" s="4">
        <f t="shared" si="5"/>
        <v>0.42474703092417793</v>
      </c>
      <c r="F109" s="4">
        <f t="shared" si="6"/>
        <v>0.21041425621066676</v>
      </c>
      <c r="N109" s="4">
        <f t="shared" si="26"/>
        <v>0.9</v>
      </c>
      <c r="O109" s="4">
        <f t="shared" si="17"/>
        <v>0.50000000000000044</v>
      </c>
      <c r="P109" s="4">
        <f t="shared" si="18"/>
        <v>0.49999999999999961</v>
      </c>
      <c r="Q109" s="4">
        <f t="shared" si="19"/>
        <v>0.89999999999999991</v>
      </c>
      <c r="R109" s="4">
        <f t="shared" si="20"/>
        <v>0.71151247353788527</v>
      </c>
      <c r="S109" s="4">
        <f t="shared" si="21"/>
        <v>0.18848752646211464</v>
      </c>
      <c r="T109" s="4">
        <f>(Q107-Q109)/R109</f>
        <v>4.3617622898874137E-2</v>
      </c>
      <c r="AC109" s="4">
        <f t="shared" si="22"/>
        <v>0.50000000000000044</v>
      </c>
      <c r="AD109" s="4">
        <f t="shared" si="23"/>
        <v>0.49999999999999961</v>
      </c>
      <c r="AE109" s="4">
        <f t="shared" si="7"/>
        <v>0.6666666666666663</v>
      </c>
      <c r="AF109" s="4">
        <f t="shared" si="8"/>
        <v>0.17135489488193781</v>
      </c>
      <c r="AG109" s="4">
        <f t="shared" si="9"/>
        <v>0.49531177178472852</v>
      </c>
      <c r="AH109" s="4">
        <f>(AE107-AE109)/AF109</f>
        <v>0.48632012170267669</v>
      </c>
      <c r="AP109" s="4">
        <f t="shared" si="27"/>
        <v>0.9</v>
      </c>
      <c r="AQ109" s="4">
        <f t="shared" si="24"/>
        <v>0.50000000000000044</v>
      </c>
      <c r="AR109" s="4">
        <f t="shared" si="25"/>
        <v>0.49999999999999961</v>
      </c>
      <c r="AS109" s="4">
        <f t="shared" si="10"/>
        <v>0.6666666666666663</v>
      </c>
      <c r="AT109" s="4">
        <f t="shared" si="11"/>
        <v>0.47525296907582204</v>
      </c>
      <c r="AU109" s="4">
        <f t="shared" si="12"/>
        <v>0.19141369759084426</v>
      </c>
      <c r="AV109" s="4">
        <f>(AS107-AS109)/AT109</f>
        <v>0.17534521350888885</v>
      </c>
    </row>
    <row r="110" spans="1:59" s="4" customFormat="1" x14ac:dyDescent="0.25">
      <c r="A110" s="4">
        <f t="shared" si="13"/>
        <v>0.55000000000000038</v>
      </c>
      <c r="B110" s="4">
        <f t="shared" si="14"/>
        <v>0.44999999999999962</v>
      </c>
      <c r="C110" s="4">
        <f t="shared" si="15"/>
        <v>0.88043478260869545</v>
      </c>
      <c r="D110" s="4">
        <f t="shared" si="16"/>
        <v>0.43459198371310531</v>
      </c>
      <c r="E110" s="4">
        <f>C110-D110</f>
        <v>0.44584279889559014</v>
      </c>
      <c r="F110" s="4">
        <f>(C$99-C110)/D110</f>
        <v>0.27512062318718511</v>
      </c>
      <c r="N110" s="4">
        <f t="shared" si="26"/>
        <v>0.9</v>
      </c>
      <c r="O110" s="4">
        <f t="shared" si="17"/>
        <v>0.55000000000000038</v>
      </c>
      <c r="P110" s="4">
        <f t="shared" si="18"/>
        <v>0.44999999999999962</v>
      </c>
      <c r="Q110" s="4">
        <f t="shared" si="19"/>
        <v>0.88043478260869545</v>
      </c>
      <c r="R110" s="4">
        <f t="shared" si="20"/>
        <v>0.69786280886718688</v>
      </c>
      <c r="S110" s="4">
        <f t="shared" si="21"/>
        <v>0.18257197374150858</v>
      </c>
      <c r="T110" s="4">
        <f>(Q107-Q110)/R110</f>
        <v>7.2506658195557933E-2</v>
      </c>
      <c r="AC110" s="4">
        <f t="shared" si="22"/>
        <v>0.55000000000000038</v>
      </c>
      <c r="AD110" s="4">
        <f t="shared" si="23"/>
        <v>0.44999999999999962</v>
      </c>
      <c r="AE110" s="4">
        <f t="shared" si="7"/>
        <v>0.62068965517241337</v>
      </c>
      <c r="AF110" s="4">
        <f t="shared" si="8"/>
        <v>0.15669436811832121</v>
      </c>
      <c r="AG110" s="4">
        <f t="shared" si="9"/>
        <v>0.46399528705409215</v>
      </c>
      <c r="AH110" s="4">
        <f>(AE107-AE110)/AF110</f>
        <v>0.82523926277901061</v>
      </c>
      <c r="AP110" s="4">
        <f t="shared" si="27"/>
        <v>0.9</v>
      </c>
      <c r="AQ110" s="4">
        <f t="shared" si="24"/>
        <v>0.55000000000000038</v>
      </c>
      <c r="AR110" s="4">
        <f t="shared" si="25"/>
        <v>0.44999999999999962</v>
      </c>
      <c r="AS110" s="4">
        <f t="shared" si="10"/>
        <v>0.62068965517241337</v>
      </c>
      <c r="AT110" s="4">
        <f t="shared" si="11"/>
        <v>0.43459198371310537</v>
      </c>
      <c r="AU110" s="4">
        <f t="shared" si="12"/>
        <v>0.186097671459308</v>
      </c>
      <c r="AV110" s="4">
        <f>(AS107-AS110)/AT110</f>
        <v>0.29754424764758236</v>
      </c>
    </row>
    <row r="111" spans="1:59" s="4" customFormat="1" x14ac:dyDescent="0.25">
      <c r="A111" s="4">
        <f t="shared" si="13"/>
        <v>0.60000000000000031</v>
      </c>
      <c r="B111" s="4">
        <f t="shared" si="14"/>
        <v>0.39999999999999963</v>
      </c>
      <c r="C111" s="4">
        <f t="shared" si="15"/>
        <v>0.85714285714285687</v>
      </c>
      <c r="D111" s="4">
        <f t="shared" si="16"/>
        <v>0.39467610868816283</v>
      </c>
      <c r="E111" s="4">
        <f t="shared" si="5"/>
        <v>0.46246674845469404</v>
      </c>
      <c r="F111" s="4">
        <f t="shared" si="6"/>
        <v>0.36196045241242575</v>
      </c>
      <c r="N111" s="4">
        <f t="shared" si="26"/>
        <v>0.9</v>
      </c>
      <c r="O111" s="4">
        <f t="shared" si="17"/>
        <v>0.60000000000000031</v>
      </c>
      <c r="P111" s="4">
        <f t="shared" si="18"/>
        <v>0.39999999999999963</v>
      </c>
      <c r="Q111" s="4">
        <f t="shared" si="19"/>
        <v>0.85714285714285687</v>
      </c>
      <c r="R111" s="4">
        <f t="shared" si="20"/>
        <v>0.68541957952775168</v>
      </c>
      <c r="S111" s="4">
        <f t="shared" si="21"/>
        <v>0.1717232776151052</v>
      </c>
      <c r="T111" s="4">
        <f>(Q107-Q111)/R111</f>
        <v>0.10780495308680033</v>
      </c>
      <c r="AC111" s="4">
        <f t="shared" si="22"/>
        <v>0.60000000000000031</v>
      </c>
      <c r="AD111" s="4">
        <f t="shared" si="23"/>
        <v>0.39999999999999963</v>
      </c>
      <c r="AE111" s="4">
        <f t="shared" si="7"/>
        <v>0.57142857142857106</v>
      </c>
      <c r="AF111" s="4">
        <f t="shared" si="8"/>
        <v>0.14230249470757697</v>
      </c>
      <c r="AG111" s="4">
        <f t="shared" si="9"/>
        <v>0.42912607672099412</v>
      </c>
      <c r="AH111" s="4">
        <f>(AE107-AE111)/AF111</f>
        <v>1.2548720873684056</v>
      </c>
      <c r="AP111" s="4">
        <f t="shared" si="27"/>
        <v>0.9</v>
      </c>
      <c r="AQ111" s="4">
        <f t="shared" si="24"/>
        <v>0.60000000000000031</v>
      </c>
      <c r="AR111" s="4">
        <f t="shared" si="25"/>
        <v>0.39999999999999963</v>
      </c>
      <c r="AS111" s="4">
        <f t="shared" si="10"/>
        <v>0.57142857142857106</v>
      </c>
      <c r="AT111" s="4">
        <f t="shared" si="11"/>
        <v>0.39467610868816283</v>
      </c>
      <c r="AU111" s="4">
        <f t="shared" si="12"/>
        <v>0.17675246274040823</v>
      </c>
      <c r="AV111" s="4">
        <f>(AS107-AS111)/AT111</f>
        <v>0.45245056551553137</v>
      </c>
    </row>
    <row r="112" spans="1:59" s="4" customFormat="1" x14ac:dyDescent="0.25">
      <c r="A112" s="4">
        <f t="shared" si="13"/>
        <v>0.65000000000000036</v>
      </c>
      <c r="B112" s="4">
        <f t="shared" si="14"/>
        <v>0.34999999999999964</v>
      </c>
      <c r="C112" s="4">
        <f t="shared" si="15"/>
        <v>0.82894736842105243</v>
      </c>
      <c r="D112" s="4">
        <f t="shared" si="16"/>
        <v>0.35575623676894236</v>
      </c>
      <c r="E112" s="4">
        <f t="shared" si="5"/>
        <v>0.47319113165211008</v>
      </c>
      <c r="F112" s="4">
        <f t="shared" si="6"/>
        <v>0.48081414716010545</v>
      </c>
      <c r="N112" s="4">
        <f>N111</f>
        <v>0.9</v>
      </c>
      <c r="O112" s="4">
        <f t="shared" si="17"/>
        <v>0.65000000000000036</v>
      </c>
      <c r="P112" s="4">
        <f t="shared" si="18"/>
        <v>0.34999999999999964</v>
      </c>
      <c r="Q112" s="4">
        <f t="shared" si="19"/>
        <v>0.82894736842105243</v>
      </c>
      <c r="R112" s="4">
        <f t="shared" si="20"/>
        <v>0.67424958286972625</v>
      </c>
      <c r="S112" s="4">
        <f t="shared" si="21"/>
        <v>0.15469778555132618</v>
      </c>
      <c r="T112" s="4">
        <f>(Q107-Q112)/R112</f>
        <v>0.1514084946156988</v>
      </c>
      <c r="AC112" s="4">
        <f t="shared" si="22"/>
        <v>0.65000000000000036</v>
      </c>
      <c r="AD112" s="4">
        <f t="shared" si="23"/>
        <v>0.34999999999999964</v>
      </c>
      <c r="AE112" s="4">
        <f t="shared" si="7"/>
        <v>0.51851851851851816</v>
      </c>
      <c r="AF112" s="4">
        <f t="shared" si="8"/>
        <v>0.12826973532365293</v>
      </c>
      <c r="AG112" s="4">
        <f t="shared" si="9"/>
        <v>0.39024878319486522</v>
      </c>
      <c r="AH112" s="4">
        <f>(AE107-AE112)/AF112</f>
        <v>1.8046461302613785</v>
      </c>
      <c r="AP112" s="4">
        <f t="shared" si="27"/>
        <v>0.9</v>
      </c>
      <c r="AQ112" s="4">
        <f t="shared" si="24"/>
        <v>0.65000000000000036</v>
      </c>
      <c r="AR112" s="4">
        <f t="shared" si="25"/>
        <v>0.34999999999999964</v>
      </c>
      <c r="AS112" s="4">
        <f t="shared" si="10"/>
        <v>0.51851851851851816</v>
      </c>
      <c r="AT112" s="4">
        <f t="shared" si="11"/>
        <v>0.35575623676894241</v>
      </c>
      <c r="AU112" s="4">
        <f t="shared" si="12"/>
        <v>0.16276228174957574</v>
      </c>
      <c r="AV112" s="4">
        <f>(AS107-AS112)/AT112</f>
        <v>0.65067441567250661</v>
      </c>
    </row>
    <row r="113" spans="1:61" s="4" customFormat="1" x14ac:dyDescent="0.25">
      <c r="A113" s="4">
        <f t="shared" si="13"/>
        <v>0.7000000000000004</v>
      </c>
      <c r="B113" s="4">
        <f t="shared" si="14"/>
        <v>0.29999999999999966</v>
      </c>
      <c r="C113" s="4">
        <f t="shared" si="15"/>
        <v>0.79411764705882326</v>
      </c>
      <c r="D113" s="4">
        <f t="shared" si="16"/>
        <v>0.31819805153394609</v>
      </c>
      <c r="E113" s="4">
        <f t="shared" si="5"/>
        <v>0.47591959552487717</v>
      </c>
      <c r="F113" s="4">
        <f t="shared" si="6"/>
        <v>0.64702581285043703</v>
      </c>
      <c r="N113" s="4">
        <f t="shared" si="26"/>
        <v>0.9</v>
      </c>
      <c r="O113" s="4">
        <f t="shared" si="17"/>
        <v>0.7000000000000004</v>
      </c>
      <c r="P113" s="4">
        <f t="shared" si="18"/>
        <v>0.29999999999999966</v>
      </c>
      <c r="Q113" s="4">
        <f t="shared" si="19"/>
        <v>0.79411764705882326</v>
      </c>
      <c r="R113" s="4">
        <f t="shared" si="20"/>
        <v>0.66441703771050287</v>
      </c>
      <c r="S113" s="4">
        <f t="shared" si="21"/>
        <v>0.12970060934832039</v>
      </c>
      <c r="T113" s="4">
        <f>(Q107-Q113)/R113</f>
        <v>0.2060706272247253</v>
      </c>
      <c r="AC113" s="4">
        <f t="shared" si="22"/>
        <v>0.7000000000000004</v>
      </c>
      <c r="AD113" s="4">
        <f t="shared" si="23"/>
        <v>0.29999999999999966</v>
      </c>
      <c r="AE113" s="4">
        <f t="shared" si="7"/>
        <v>0.46153846153846118</v>
      </c>
      <c r="AF113" s="4">
        <f t="shared" si="8"/>
        <v>0.11472793905583756</v>
      </c>
      <c r="AG113" s="4">
        <f t="shared" si="9"/>
        <v>0.34681052248262362</v>
      </c>
      <c r="AH113" s="4">
        <f>(AE107-AE113)/AF113</f>
        <v>2.5143094248485158</v>
      </c>
      <c r="AP113" s="4">
        <f t="shared" si="27"/>
        <v>0.9</v>
      </c>
      <c r="AQ113" s="4">
        <f t="shared" si="24"/>
        <v>0.7000000000000004</v>
      </c>
      <c r="AR113" s="4">
        <f t="shared" si="25"/>
        <v>0.29999999999999966</v>
      </c>
      <c r="AS113" s="4">
        <f t="shared" si="10"/>
        <v>0.46153846153846118</v>
      </c>
      <c r="AT113" s="4">
        <f t="shared" si="11"/>
        <v>0.31819805153394609</v>
      </c>
      <c r="AU113" s="4">
        <f t="shared" si="12"/>
        <v>0.14334041000451508</v>
      </c>
      <c r="AV113" s="4">
        <f>(AS107-AS113)/AT113</f>
        <v>0.90654715536736952</v>
      </c>
    </row>
    <row r="114" spans="1:61" s="4" customFormat="1" x14ac:dyDescent="0.25">
      <c r="A114" s="4">
        <f t="shared" si="13"/>
        <v>0.75000000000000033</v>
      </c>
      <c r="B114" s="4">
        <f t="shared" si="14"/>
        <v>0.24999999999999967</v>
      </c>
      <c r="C114" s="4">
        <f t="shared" si="15"/>
        <v>0.74999999999999967</v>
      </c>
      <c r="D114" s="4">
        <f t="shared" si="16"/>
        <v>0.2825450951073662</v>
      </c>
      <c r="E114" s="4">
        <f t="shared" si="5"/>
        <v>0.46745490489263347</v>
      </c>
      <c r="F114" s="4">
        <f t="shared" si="6"/>
        <v>0.88481451042355264</v>
      </c>
      <c r="N114" s="4">
        <f t="shared" si="26"/>
        <v>0.9</v>
      </c>
      <c r="O114" s="4">
        <f t="shared" si="17"/>
        <v>0.75000000000000033</v>
      </c>
      <c r="P114" s="4">
        <f t="shared" si="18"/>
        <v>0.24999999999999967</v>
      </c>
      <c r="Q114" s="4">
        <f t="shared" si="19"/>
        <v>0.74999999999999967</v>
      </c>
      <c r="R114" s="4">
        <f t="shared" si="20"/>
        <v>0.65598208817009618</v>
      </c>
      <c r="S114" s="4">
        <f t="shared" si="21"/>
        <v>9.4017911829903489E-2</v>
      </c>
      <c r="T114" s="4">
        <f>(Q107-Q114)/R114</f>
        <v>0.27597473471208356</v>
      </c>
      <c r="AC114" s="4">
        <f t="shared" si="22"/>
        <v>0.75000000000000033</v>
      </c>
      <c r="AD114" s="4">
        <f t="shared" si="23"/>
        <v>0.24999999999999967</v>
      </c>
      <c r="AE114" s="4">
        <f t="shared" si="7"/>
        <v>0.39999999999999963</v>
      </c>
      <c r="AF114" s="4">
        <f t="shared" si="8"/>
        <v>0.10187308280404585</v>
      </c>
      <c r="AG114" s="4">
        <f t="shared" si="9"/>
        <v>0.2981269171959538</v>
      </c>
      <c r="AH114" s="4">
        <f>(AE107-AE114)/AF114</f>
        <v>3.435647477884118</v>
      </c>
      <c r="AP114" s="4">
        <f t="shared" si="27"/>
        <v>0.9</v>
      </c>
      <c r="AQ114" s="4">
        <f t="shared" si="24"/>
        <v>0.75000000000000033</v>
      </c>
      <c r="AR114" s="4">
        <f t="shared" si="25"/>
        <v>0.24999999999999967</v>
      </c>
      <c r="AS114" s="4">
        <f t="shared" si="10"/>
        <v>0.39999999999999963</v>
      </c>
      <c r="AT114" s="4">
        <f t="shared" si="11"/>
        <v>0.28254509510736625</v>
      </c>
      <c r="AU114" s="4">
        <f t="shared" si="12"/>
        <v>0.11745490489263338</v>
      </c>
      <c r="AV114" s="4">
        <f>(AS107-AS114)/AT114</f>
        <v>1.2387403145929718</v>
      </c>
    </row>
    <row r="115" spans="1:61" s="4" customFormat="1" x14ac:dyDescent="0.25">
      <c r="A115" s="4">
        <f t="shared" si="13"/>
        <v>0.79899999999999993</v>
      </c>
      <c r="B115" s="4">
        <v>0.20100000000000001</v>
      </c>
      <c r="C115" s="4">
        <f t="shared" si="15"/>
        <v>0.69363496932515345</v>
      </c>
      <c r="D115" s="4">
        <f t="shared" si="16"/>
        <v>0.25023990412279296</v>
      </c>
      <c r="E115" s="4">
        <f t="shared" si="5"/>
        <v>0.44339506520236049</v>
      </c>
      <c r="F115" s="4">
        <f t="shared" si="6"/>
        <v>1.2242852783563765</v>
      </c>
      <c r="N115" s="4">
        <f t="shared" si="26"/>
        <v>0.9</v>
      </c>
      <c r="O115" s="4">
        <f t="shared" si="17"/>
        <v>0.79899999999999993</v>
      </c>
      <c r="P115" s="4">
        <v>0.20100000000000001</v>
      </c>
      <c r="Q115" s="4">
        <f t="shared" si="19"/>
        <v>0.69363496932515345</v>
      </c>
      <c r="R115" s="4">
        <f t="shared" si="20"/>
        <v>0.64912433708804962</v>
      </c>
      <c r="S115" s="4">
        <f t="shared" si="21"/>
        <v>4.4510632237103831E-2</v>
      </c>
      <c r="T115" s="4">
        <f>(Q107-Q115)/R115</f>
        <v>0.3657227126908128</v>
      </c>
      <c r="AC115" s="4">
        <f t="shared" si="22"/>
        <v>0.79899999999999993</v>
      </c>
      <c r="AD115" s="4">
        <v>0.20100000000000001</v>
      </c>
      <c r="AE115" s="4">
        <f t="shared" si="7"/>
        <v>0.3347210657785179</v>
      </c>
      <c r="AF115" s="4">
        <f t="shared" si="8"/>
        <v>9.022528054819226E-2</v>
      </c>
      <c r="AG115" s="4">
        <f t="shared" si="9"/>
        <v>0.24449578523032564</v>
      </c>
      <c r="AH115" s="4">
        <f>(AE107-AE115)/AF115</f>
        <v>4.6026893094521082</v>
      </c>
      <c r="AP115" s="4">
        <f t="shared" si="27"/>
        <v>0.9</v>
      </c>
      <c r="AQ115" s="4">
        <f t="shared" si="24"/>
        <v>0.79899999999999993</v>
      </c>
      <c r="AR115" s="4">
        <v>0.20100000000000001</v>
      </c>
      <c r="AS115" s="4">
        <f t="shared" si="10"/>
        <v>0.3347210657785179</v>
      </c>
      <c r="AT115" s="4">
        <f t="shared" si="11"/>
        <v>0.25023990412279296</v>
      </c>
      <c r="AU115" s="4">
        <f t="shared" si="12"/>
        <v>8.4481161655724946E-2</v>
      </c>
      <c r="AV115" s="4">
        <f>(AS107-AS115)/AT115</f>
        <v>1.6595232310259518</v>
      </c>
    </row>
    <row r="116" spans="1:61" s="4" customFormat="1" x14ac:dyDescent="0.25">
      <c r="A116" s="4">
        <f t="shared" si="13"/>
        <v>0.84899999999999998</v>
      </c>
      <c r="B116" s="4">
        <f>B115-0.05</f>
        <v>0.15100000000000002</v>
      </c>
      <c r="C116" s="4">
        <f t="shared" si="15"/>
        <v>0.61548913043478271</v>
      </c>
      <c r="D116" s="4">
        <f t="shared" si="16"/>
        <v>0.22116129251677905</v>
      </c>
      <c r="E116" s="1">
        <f t="shared" si="5"/>
        <v>0.39432783791800363</v>
      </c>
      <c r="F116" s="4">
        <f t="shared" si="6"/>
        <v>1.7385993054641118</v>
      </c>
      <c r="N116" s="4">
        <f t="shared" si="26"/>
        <v>0.9</v>
      </c>
      <c r="O116" s="4">
        <f t="shared" si="17"/>
        <v>0.84899999999999998</v>
      </c>
      <c r="P116" s="4">
        <f>P115-0.05</f>
        <v>0.15100000000000002</v>
      </c>
      <c r="Q116" s="4">
        <f t="shared" si="19"/>
        <v>0.61548913043478271</v>
      </c>
      <c r="R116" s="4">
        <f t="shared" si="20"/>
        <v>0.64361044506751142</v>
      </c>
      <c r="S116" s="1">
        <f t="shared" si="21"/>
        <v>-2.8121314632728711E-2</v>
      </c>
      <c r="T116" s="4">
        <f>(Q99-Q116)/R116</f>
        <v>0.59742795119629244</v>
      </c>
      <c r="AC116" s="4">
        <f t="shared" si="22"/>
        <v>0.84899999999999998</v>
      </c>
      <c r="AD116" s="4">
        <f>AD115-0.05</f>
        <v>0.15100000000000002</v>
      </c>
      <c r="AE116" s="4">
        <f t="shared" si="7"/>
        <v>0.26238053866203304</v>
      </c>
      <c r="AF116" s="4">
        <f t="shared" si="8"/>
        <v>7.9740838031713723E-2</v>
      </c>
      <c r="AG116" s="1">
        <f t="shared" si="9"/>
        <v>0.18263970063031931</v>
      </c>
      <c r="AH116" s="4">
        <f t="shared" ref="AH116:AH119" si="28">(AE108-AE116)/AF116</f>
        <v>5.6093827420638718</v>
      </c>
      <c r="AP116" s="4">
        <f t="shared" si="27"/>
        <v>0.9</v>
      </c>
      <c r="AQ116" s="4">
        <f t="shared" si="24"/>
        <v>0.84899999999999998</v>
      </c>
      <c r="AR116" s="4">
        <f>AR115-0.05</f>
        <v>0.15100000000000002</v>
      </c>
      <c r="AS116" s="4">
        <f t="shared" si="10"/>
        <v>0.26238053866203304</v>
      </c>
      <c r="AT116" s="4">
        <f t="shared" si="11"/>
        <v>0.22116129251677907</v>
      </c>
      <c r="AU116" s="1">
        <f t="shared" si="12"/>
        <v>4.1219246145253963E-2</v>
      </c>
      <c r="AV116" s="4">
        <f>(AS99-AS116)/AT116</f>
        <v>3.3352104834619976</v>
      </c>
    </row>
    <row r="117" spans="1:61" s="4" customFormat="1" x14ac:dyDescent="0.25">
      <c r="A117" s="4">
        <f t="shared" si="13"/>
        <v>0.89900000000000002</v>
      </c>
      <c r="B117" s="4">
        <f>B116-0.05</f>
        <v>0.10100000000000002</v>
      </c>
      <c r="C117" s="4">
        <f t="shared" si="15"/>
        <v>0.50276548672566368</v>
      </c>
      <c r="D117" s="4">
        <f t="shared" si="16"/>
        <v>0.19773430599982081</v>
      </c>
      <c r="E117" s="1">
        <f t="shared" si="5"/>
        <v>0.3050311807258429</v>
      </c>
      <c r="F117" s="4">
        <f t="shared" si="6"/>
        <v>2.5146598146443386</v>
      </c>
      <c r="N117" s="4">
        <f t="shared" si="26"/>
        <v>0.9</v>
      </c>
      <c r="O117" s="4">
        <f t="shared" si="17"/>
        <v>0.89900000000000002</v>
      </c>
      <c r="P117" s="4">
        <f>P116-0.05</f>
        <v>0.10100000000000002</v>
      </c>
      <c r="Q117" s="4">
        <f t="shared" si="19"/>
        <v>0.50276548672566368</v>
      </c>
      <c r="R117" s="4">
        <f t="shared" si="20"/>
        <v>0.63963380539180381</v>
      </c>
      <c r="S117" s="1">
        <f t="shared" si="21"/>
        <v>-0.13686831866614013</v>
      </c>
      <c r="T117" s="4">
        <f>(Q99-Q117)/R117</f>
        <v>0.77737372396969906</v>
      </c>
      <c r="AC117" s="4">
        <f t="shared" si="22"/>
        <v>0.89900000000000002</v>
      </c>
      <c r="AD117" s="4">
        <f>AD116-0.05</f>
        <v>0.10100000000000002</v>
      </c>
      <c r="AE117" s="4">
        <f t="shared" si="7"/>
        <v>0.18346957311534973</v>
      </c>
      <c r="AF117" s="4">
        <f t="shared" si="8"/>
        <v>7.1294117920064071E-2</v>
      </c>
      <c r="AG117" s="1">
        <f t="shared" si="9"/>
        <v>0.11217545519528566</v>
      </c>
      <c r="AH117" s="4">
        <f t="shared" si="28"/>
        <v>6.7775169628030705</v>
      </c>
      <c r="AP117" s="4">
        <f t="shared" si="27"/>
        <v>0.9</v>
      </c>
      <c r="AQ117" s="4">
        <f t="shared" si="24"/>
        <v>0.89900000000000002</v>
      </c>
      <c r="AR117" s="4">
        <f>AR116-0.05</f>
        <v>0.10100000000000002</v>
      </c>
      <c r="AS117" s="4">
        <f t="shared" si="10"/>
        <v>0.18346957311534973</v>
      </c>
      <c r="AT117" s="4">
        <f t="shared" si="11"/>
        <v>0.19773430599982081</v>
      </c>
      <c r="AU117" s="1">
        <f t="shared" si="12"/>
        <v>-1.4264732884471082E-2</v>
      </c>
      <c r="AV117" s="4">
        <f>(AS99-AS117)/AT117</f>
        <v>4.1294322841752624</v>
      </c>
    </row>
    <row r="118" spans="1:61" s="4" customFormat="1" x14ac:dyDescent="0.25">
      <c r="A118" s="4">
        <f t="shared" si="13"/>
        <v>0.94899999999999995</v>
      </c>
      <c r="B118" s="4">
        <f>B117-0.05</f>
        <v>5.1000000000000018E-2</v>
      </c>
      <c r="C118" s="4">
        <f t="shared" si="15"/>
        <v>0.32599431818181829</v>
      </c>
      <c r="D118" s="4">
        <f t="shared" si="16"/>
        <v>0.18215275183208185</v>
      </c>
      <c r="E118" s="1">
        <f t="shared" si="5"/>
        <v>0.14384156634973644</v>
      </c>
      <c r="F118" s="4">
        <f t="shared" si="6"/>
        <v>3.7002223410795141</v>
      </c>
      <c r="N118" s="4">
        <f t="shared" si="26"/>
        <v>0.9</v>
      </c>
      <c r="O118" s="4">
        <f t="shared" si="17"/>
        <v>0.94899999999999995</v>
      </c>
      <c r="P118" s="4">
        <f>P117-0.05</f>
        <v>5.1000000000000018E-2</v>
      </c>
      <c r="Q118" s="4">
        <f t="shared" si="19"/>
        <v>0.32599431818181829</v>
      </c>
      <c r="R118" s="4">
        <f t="shared" si="20"/>
        <v>0.6372231987302408</v>
      </c>
      <c r="S118" s="1">
        <f t="shared" si="21"/>
        <v>-0.31122888054842252</v>
      </c>
      <c r="T118" s="4">
        <f>(Q100-Q118)/R118</f>
        <v>1.0485991873197305</v>
      </c>
      <c r="AC118" s="4">
        <f t="shared" si="22"/>
        <v>0.94899999999999995</v>
      </c>
      <c r="AD118" s="4">
        <f>AD117-0.05</f>
        <v>5.1000000000000018E-2</v>
      </c>
      <c r="AE118" s="4">
        <f t="shared" si="7"/>
        <v>9.7050428163653696E-2</v>
      </c>
      <c r="AF118" s="4">
        <f t="shared" si="8"/>
        <v>6.5676108669743827E-2</v>
      </c>
      <c r="AG118" s="1">
        <f t="shared" si="9"/>
        <v>3.1374319493909869E-2</v>
      </c>
      <c r="AH118" s="4">
        <f t="shared" si="28"/>
        <v>7.9730550060739782</v>
      </c>
      <c r="AP118" s="4">
        <f t="shared" si="27"/>
        <v>0.9</v>
      </c>
      <c r="AQ118" s="4">
        <f t="shared" si="24"/>
        <v>0.94899999999999995</v>
      </c>
      <c r="AR118" s="4">
        <f>AR117-0.05</f>
        <v>5.1000000000000018E-2</v>
      </c>
      <c r="AS118" s="4">
        <f t="shared" si="10"/>
        <v>9.7050428163653696E-2</v>
      </c>
      <c r="AT118" s="4">
        <f t="shared" si="11"/>
        <v>0.18215275183208188</v>
      </c>
      <c r="AU118" s="1">
        <f t="shared" si="12"/>
        <v>-8.5102323668428181E-2</v>
      </c>
      <c r="AV118" s="4">
        <f>(AS100-AS118)/AT118</f>
        <v>4.8163342983918813</v>
      </c>
    </row>
    <row r="119" spans="1:61" s="4" customFormat="1" x14ac:dyDescent="0.25">
      <c r="A119" s="4">
        <f t="shared" si="13"/>
        <v>0.999</v>
      </c>
      <c r="B119" s="4">
        <f>B118-0.05</f>
        <v>1.0000000000000148E-3</v>
      </c>
      <c r="C119" s="4">
        <f t="shared" si="15"/>
        <v>8.9285714285715599E-3</v>
      </c>
      <c r="D119" s="4">
        <f t="shared" si="16"/>
        <v>0.17650672791709668</v>
      </c>
      <c r="E119" s="1">
        <f t="shared" si="5"/>
        <v>-0.16757815648852512</v>
      </c>
      <c r="F119" s="4">
        <f t="shared" si="6"/>
        <v>5.6149215401971766</v>
      </c>
      <c r="N119" s="4">
        <f t="shared" si="26"/>
        <v>0.9</v>
      </c>
      <c r="O119" s="4">
        <f t="shared" si="17"/>
        <v>0.999</v>
      </c>
      <c r="P119" s="4">
        <f>P118-0.05</f>
        <v>1.0000000000000148E-3</v>
      </c>
      <c r="Q119" s="4">
        <f>Q$93*$P119*Q$92/(1+$P119*Q$91*Q$92)</f>
        <v>8.9285714285715599E-3</v>
      </c>
      <c r="R119" s="4">
        <f t="shared" si="20"/>
        <v>0.63639642126586482</v>
      </c>
      <c r="S119" s="1">
        <f t="shared" si="21"/>
        <v>-0.62746784983729331</v>
      </c>
      <c r="T119" s="4">
        <f>(Q101-Q119)/R119</f>
        <v>1.5381549517093649</v>
      </c>
      <c r="AC119" s="4">
        <f t="shared" si="22"/>
        <v>0.999</v>
      </c>
      <c r="AD119" s="4">
        <f>AD118-0.05</f>
        <v>1.0000000000000148E-3</v>
      </c>
      <c r="AE119" s="4">
        <f t="shared" si="7"/>
        <v>1.9980019980020275E-3</v>
      </c>
      <c r="AF119" s="4">
        <f t="shared" si="8"/>
        <v>6.3640405796946325E-2</v>
      </c>
      <c r="AG119" s="1">
        <f t="shared" si="9"/>
        <v>-6.1642403798944298E-2</v>
      </c>
      <c r="AH119" s="4">
        <f t="shared" si="28"/>
        <v>8.9476263122428445</v>
      </c>
      <c r="AP119" s="4">
        <f t="shared" si="27"/>
        <v>0.9</v>
      </c>
      <c r="AQ119" s="4">
        <f t="shared" si="24"/>
        <v>0.999</v>
      </c>
      <c r="AR119" s="4">
        <f>AR118-0.05</f>
        <v>1.0000000000000148E-3</v>
      </c>
      <c r="AS119" s="4">
        <f t="shared" si="10"/>
        <v>1.9980019980020275E-3</v>
      </c>
      <c r="AT119" s="4">
        <f t="shared" si="11"/>
        <v>0.17650672791709671</v>
      </c>
      <c r="AU119" s="1">
        <f t="shared" si="12"/>
        <v>-0.17450872591909466</v>
      </c>
      <c r="AV119" s="4">
        <f>(AS101-AS119)/AT119</f>
        <v>5.3560021774278184</v>
      </c>
    </row>
    <row r="120" spans="1:61" x14ac:dyDescent="0.25">
      <c r="A120" s="4">
        <f t="shared" si="13"/>
        <v>0.53591356567326098</v>
      </c>
      <c r="B120" s="4">
        <v>0.46408643432673902</v>
      </c>
      <c r="C120" s="4">
        <f>C$93*$B120*C$92/(1+$B120*C$91*C$92)</f>
        <v>0.88628290891519357</v>
      </c>
      <c r="D120" s="4">
        <f t="shared" si="16"/>
        <v>0.44598070090849562</v>
      </c>
      <c r="E120" s="1">
        <f>C120-D120</f>
        <v>0.44030220800669795</v>
      </c>
      <c r="F120" s="4">
        <f t="shared" si="6"/>
        <v>0.25498208970288694</v>
      </c>
      <c r="G120" s="4"/>
      <c r="H120" s="4"/>
      <c r="I120" s="4"/>
      <c r="J120" s="4"/>
      <c r="K120" s="4"/>
      <c r="L120" s="4"/>
      <c r="M120" s="4"/>
      <c r="N120" s="4"/>
      <c r="O120" s="4">
        <f t="shared" si="17"/>
        <v>1</v>
      </c>
      <c r="P120" s="4"/>
      <c r="Q120" s="4"/>
      <c r="R120" s="4"/>
      <c r="T120" s="4"/>
      <c r="AC120" s="4">
        <f t="shared" si="22"/>
        <v>1</v>
      </c>
      <c r="AD120" s="4"/>
      <c r="AQ120" s="4">
        <f t="shared" si="24"/>
        <v>1</v>
      </c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</row>
    <row r="121" spans="1:61" x14ac:dyDescent="0.25">
      <c r="F121" s="4"/>
      <c r="G121" s="15" t="s">
        <v>69</v>
      </c>
      <c r="H121" s="15"/>
      <c r="I121" s="15"/>
      <c r="J121" s="15"/>
      <c r="K121" s="15"/>
      <c r="L121" s="15"/>
      <c r="M121" s="15"/>
      <c r="N121" s="15"/>
      <c r="P121" s="4"/>
      <c r="Q121" s="4"/>
      <c r="AD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</row>
    <row r="122" spans="1:61" x14ac:dyDescent="0.25">
      <c r="B122" s="4"/>
      <c r="C122" s="1" t="s">
        <v>30</v>
      </c>
      <c r="D122" s="1" t="s">
        <v>31</v>
      </c>
      <c r="E122" s="1" t="s">
        <v>32</v>
      </c>
      <c r="G122" s="15" t="s">
        <v>70</v>
      </c>
      <c r="H122" s="15"/>
      <c r="I122" s="15"/>
      <c r="J122" s="15"/>
      <c r="K122" s="15"/>
      <c r="L122" s="15"/>
      <c r="M122" s="15"/>
      <c r="N122" s="15"/>
      <c r="P122" s="4"/>
      <c r="Q122" s="1" t="s">
        <v>30</v>
      </c>
      <c r="R122" s="1" t="s">
        <v>31</v>
      </c>
      <c r="S122" s="1" t="s">
        <v>32</v>
      </c>
      <c r="AD122" s="4"/>
      <c r="AE122" s="1" t="s">
        <v>30</v>
      </c>
      <c r="AF122" s="1" t="s">
        <v>31</v>
      </c>
      <c r="AG122" s="1" t="s">
        <v>32</v>
      </c>
      <c r="AS122" s="1" t="s">
        <v>30</v>
      </c>
      <c r="AT122" s="1" t="s">
        <v>31</v>
      </c>
      <c r="AU122" s="1" t="s">
        <v>32</v>
      </c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</row>
    <row r="123" spans="1:61" x14ac:dyDescent="0.25">
      <c r="B123" s="4" t="s">
        <v>22</v>
      </c>
      <c r="C123" s="1">
        <v>8</v>
      </c>
      <c r="G123" s="15" t="s">
        <v>71</v>
      </c>
      <c r="H123" s="15"/>
      <c r="I123" s="15"/>
      <c r="J123" s="15"/>
      <c r="K123" s="15"/>
      <c r="L123" s="15"/>
      <c r="M123" s="15"/>
      <c r="N123" s="15"/>
      <c r="P123" s="4" t="s">
        <v>22</v>
      </c>
      <c r="Q123" s="1">
        <v>8</v>
      </c>
      <c r="AD123" s="4" t="s">
        <v>22</v>
      </c>
      <c r="AE123" s="1">
        <v>1</v>
      </c>
      <c r="AR123" s="1" t="s">
        <v>22</v>
      </c>
      <c r="AS123" s="1">
        <v>1</v>
      </c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</row>
    <row r="124" spans="1:61" x14ac:dyDescent="0.25">
      <c r="B124" s="1" t="s">
        <v>23</v>
      </c>
      <c r="C124" s="1">
        <v>1</v>
      </c>
      <c r="H124" s="4"/>
      <c r="I124" s="4"/>
      <c r="J124" s="4"/>
      <c r="K124" s="4"/>
      <c r="L124" s="4"/>
      <c r="M124" s="4"/>
      <c r="N124" s="4"/>
      <c r="P124" s="1" t="s">
        <v>23</v>
      </c>
      <c r="Q124" s="1">
        <v>1</v>
      </c>
      <c r="AD124" s="1" t="s">
        <v>23</v>
      </c>
      <c r="AE124" s="1">
        <v>1</v>
      </c>
      <c r="AR124" s="1" t="s">
        <v>23</v>
      </c>
      <c r="AS124" s="1">
        <v>1</v>
      </c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61" x14ac:dyDescent="0.25">
      <c r="B125" s="1" t="s">
        <v>34</v>
      </c>
      <c r="C125" s="1">
        <v>9</v>
      </c>
      <c r="H125" s="4"/>
      <c r="I125" s="4"/>
      <c r="J125" s="4"/>
      <c r="K125" s="4"/>
      <c r="L125" s="4"/>
      <c r="M125" s="4"/>
      <c r="N125" s="4"/>
      <c r="P125" s="1" t="s">
        <v>34</v>
      </c>
      <c r="Q125" s="1">
        <v>9</v>
      </c>
      <c r="AD125" s="1" t="s">
        <v>34</v>
      </c>
      <c r="AE125" s="1">
        <v>2</v>
      </c>
      <c r="AR125" s="1" t="s">
        <v>34</v>
      </c>
      <c r="AS125" s="1">
        <v>2</v>
      </c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spans="1:61" x14ac:dyDescent="0.25">
      <c r="B126" s="1" t="s">
        <v>14</v>
      </c>
      <c r="D126" s="1">
        <v>0.2</v>
      </c>
      <c r="F126" s="1" t="s">
        <v>4</v>
      </c>
      <c r="H126" s="4"/>
      <c r="I126" s="4"/>
      <c r="J126" s="4"/>
      <c r="K126" s="4"/>
      <c r="L126" s="4"/>
      <c r="M126" s="4"/>
      <c r="N126" s="4"/>
      <c r="P126" s="1" t="s">
        <v>14</v>
      </c>
      <c r="R126" s="1">
        <v>0.6</v>
      </c>
      <c r="T126" s="1" t="s">
        <v>4</v>
      </c>
      <c r="AD126" s="1" t="s">
        <v>14</v>
      </c>
      <c r="AF126" s="1">
        <v>0.6</v>
      </c>
      <c r="AH126" s="1" t="s">
        <v>4</v>
      </c>
      <c r="AR126" s="1" t="s">
        <v>14</v>
      </c>
      <c r="AT126" s="1">
        <f>AF126</f>
        <v>0.6</v>
      </c>
      <c r="AV126" s="1" t="s">
        <v>4</v>
      </c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61" x14ac:dyDescent="0.25">
      <c r="B127" s="1" t="s">
        <v>35</v>
      </c>
      <c r="D127" s="1">
        <v>0.45</v>
      </c>
      <c r="F127" s="1">
        <v>0.45</v>
      </c>
      <c r="H127" s="4"/>
      <c r="I127" s="4"/>
      <c r="J127" s="4"/>
      <c r="K127" s="4"/>
      <c r="L127" s="4"/>
      <c r="M127" s="4"/>
      <c r="N127" s="4"/>
      <c r="P127" s="4" t="s">
        <v>35</v>
      </c>
      <c r="Q127" s="4"/>
      <c r="R127" s="1">
        <v>0.45</v>
      </c>
      <c r="S127" s="4"/>
      <c r="T127" s="4">
        <v>0.45</v>
      </c>
      <c r="AD127" s="1" t="s">
        <v>35</v>
      </c>
      <c r="AE127" s="4"/>
      <c r="AF127" s="1">
        <v>0.6</v>
      </c>
      <c r="AH127" s="1">
        <v>0.45</v>
      </c>
      <c r="AR127" s="1" t="s">
        <v>35</v>
      </c>
      <c r="AT127" s="1">
        <v>0.45</v>
      </c>
      <c r="AV127" s="1">
        <f>AH127</f>
        <v>0.45</v>
      </c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pans="1:61" x14ac:dyDescent="0.25">
      <c r="B128" s="1" t="s">
        <v>36</v>
      </c>
      <c r="D128" s="14">
        <v>0.98058067569092011</v>
      </c>
      <c r="F128" s="13">
        <f>(D131-F127)^2</f>
        <v>0</v>
      </c>
      <c r="H128" s="4"/>
      <c r="I128" s="4"/>
      <c r="J128" s="4"/>
      <c r="K128" s="4"/>
      <c r="L128" s="4"/>
      <c r="M128" s="4"/>
      <c r="N128" s="4"/>
      <c r="P128" s="4" t="s">
        <v>36</v>
      </c>
      <c r="Q128" s="4"/>
      <c r="R128" s="4">
        <v>0.85749292571254421</v>
      </c>
      <c r="S128" s="4"/>
      <c r="T128" s="4">
        <f>(R131-T127)^2</f>
        <v>0.20250000000000001</v>
      </c>
      <c r="V128" s="6"/>
      <c r="AD128" s="1" t="s">
        <v>36</v>
      </c>
      <c r="AE128" s="4"/>
      <c r="AF128" s="4">
        <v>0.64311969428440818</v>
      </c>
      <c r="AH128" s="1">
        <f>(AF131-AH127)^2</f>
        <v>3.0814879110195774E-33</v>
      </c>
      <c r="AR128" s="1" t="s">
        <v>36</v>
      </c>
      <c r="AT128" s="4">
        <f>AF128</f>
        <v>0.64311969428440818</v>
      </c>
      <c r="AV128" s="1">
        <f>(AT131-AV127)^2</f>
        <v>5.0625000000000017E-2</v>
      </c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x14ac:dyDescent="0.25">
      <c r="B129" s="4"/>
      <c r="C129" s="4" t="s">
        <v>37</v>
      </c>
      <c r="D129" s="1">
        <v>1</v>
      </c>
      <c r="F129" s="4"/>
      <c r="H129" s="4"/>
      <c r="I129" s="4"/>
      <c r="J129" s="4"/>
      <c r="K129" s="4"/>
      <c r="L129" s="4"/>
      <c r="M129" s="4"/>
      <c r="N129" s="4"/>
      <c r="P129" s="4"/>
      <c r="Q129" s="4" t="s">
        <v>37</v>
      </c>
      <c r="R129" s="4">
        <v>2</v>
      </c>
      <c r="S129" s="4"/>
      <c r="T129" s="4"/>
      <c r="AE129" s="4" t="s">
        <v>37</v>
      </c>
      <c r="AF129" s="4">
        <v>1</v>
      </c>
      <c r="AT129" s="4">
        <v>2</v>
      </c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pans="1:59" x14ac:dyDescent="0.25">
      <c r="B130" s="4" t="s">
        <v>39</v>
      </c>
      <c r="C130" s="4" t="s">
        <v>40</v>
      </c>
      <c r="D130" s="4" t="s">
        <v>41</v>
      </c>
      <c r="E130" s="4" t="s">
        <v>42</v>
      </c>
      <c r="F130" s="4" t="s">
        <v>43</v>
      </c>
      <c r="G130" s="1" t="s">
        <v>44</v>
      </c>
      <c r="H130" s="1">
        <f>C131-C142</f>
        <v>0.11956521739130455</v>
      </c>
      <c r="I130" s="4"/>
      <c r="J130" s="4"/>
      <c r="K130" s="4"/>
      <c r="L130" s="4"/>
      <c r="M130" s="4"/>
      <c r="N130" s="4"/>
      <c r="P130" s="4" t="s">
        <v>39</v>
      </c>
      <c r="Q130" s="4" t="s">
        <v>40</v>
      </c>
      <c r="R130" s="4" t="s">
        <v>41</v>
      </c>
      <c r="S130" s="4" t="s">
        <v>42</v>
      </c>
      <c r="T130" s="4" t="s">
        <v>43</v>
      </c>
      <c r="U130" s="1" t="s">
        <v>44</v>
      </c>
      <c r="V130" s="1">
        <f>Q131-Q139</f>
        <v>6.8965517241379448E-2</v>
      </c>
      <c r="AD130" s="1" t="s">
        <v>39</v>
      </c>
      <c r="AE130" s="1" t="s">
        <v>40</v>
      </c>
      <c r="AF130" s="1" t="s">
        <v>41</v>
      </c>
      <c r="AG130" s="1" t="s">
        <v>42</v>
      </c>
      <c r="AH130" s="1" t="s">
        <v>43</v>
      </c>
      <c r="AI130" s="1" t="s">
        <v>44</v>
      </c>
      <c r="AJ130" s="1">
        <f>AE131-AE143</f>
        <v>0.42857142857142894</v>
      </c>
      <c r="AR130" s="1" t="s">
        <v>39</v>
      </c>
      <c r="AS130" s="1" t="s">
        <v>40</v>
      </c>
      <c r="AT130" s="1" t="s">
        <v>41</v>
      </c>
      <c r="AU130" s="1" t="s">
        <v>42</v>
      </c>
      <c r="AV130" s="1" t="s">
        <v>43</v>
      </c>
      <c r="AW130" s="1" t="s">
        <v>44</v>
      </c>
      <c r="AX130" s="4">
        <f>AS131-AS145</f>
        <v>0.53846153846153877</v>
      </c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x14ac:dyDescent="0.25">
      <c r="A131" s="4">
        <f>1-B131</f>
        <v>0</v>
      </c>
      <c r="B131" s="4">
        <v>1</v>
      </c>
      <c r="C131" s="4">
        <f t="shared" ref="C131:C151" si="29">C$125*$B131*C$124/(1+$B131*C$123*C$124)</f>
        <v>1</v>
      </c>
      <c r="D131" s="1">
        <f t="shared" ref="D131:D151" si="30">D$129*(D$128*(D$127*SQRT(D$126^2+$P131^2)))</f>
        <v>0.45</v>
      </c>
      <c r="E131" s="1">
        <f t="shared" ref="E131:E151" si="31">C131-D131</f>
        <v>0.55000000000000004</v>
      </c>
      <c r="F131" s="4">
        <f>(C131-C131)/D131</f>
        <v>0</v>
      </c>
      <c r="G131" s="1" t="s">
        <v>45</v>
      </c>
      <c r="H131" s="1">
        <f>D142</f>
        <v>0.21729599185655268</v>
      </c>
      <c r="I131" s="4"/>
      <c r="J131" s="4"/>
      <c r="K131" s="4"/>
      <c r="L131" s="4"/>
      <c r="M131" s="4"/>
      <c r="N131" s="4"/>
      <c r="O131" s="4">
        <f>1-P131</f>
        <v>0</v>
      </c>
      <c r="P131" s="4">
        <v>1</v>
      </c>
      <c r="Q131" s="4">
        <f t="shared" ref="Q131:Q151" si="32">Q$125*$P131*Q$124/(1+$P131*Q$123*Q$124)</f>
        <v>1</v>
      </c>
      <c r="R131" s="1">
        <f>R$129*(R$128*(R$127*SQRT(R$126^2+$P131^2)))</f>
        <v>0.9</v>
      </c>
      <c r="S131" s="1">
        <f t="shared" ref="S131:S151" si="33">Q131-R131</f>
        <v>9.9999999999999978E-2</v>
      </c>
      <c r="T131" s="4">
        <f>(Q131-Q131)/R131</f>
        <v>0</v>
      </c>
      <c r="U131" s="1" t="s">
        <v>45</v>
      </c>
      <c r="V131" s="1">
        <f>R139</f>
        <v>0.65484618759809887</v>
      </c>
      <c r="AC131" s="4">
        <f>1-AD131</f>
        <v>0</v>
      </c>
      <c r="AD131" s="1">
        <v>1</v>
      </c>
      <c r="AE131" s="1">
        <f t="shared" ref="AE131:AE151" si="34">AE$125*$AD131*AE$124/(1+$AD131*AE$123*AE$124)</f>
        <v>1</v>
      </c>
      <c r="AF131" s="1">
        <f>AF$129*(AF$128*(AF$127*SQRT(AF$126^2+$AD131^2)))</f>
        <v>0.44999999999999996</v>
      </c>
      <c r="AG131" s="1">
        <f t="shared" ref="AG131:AG151" si="35">AE131-AF131</f>
        <v>0.55000000000000004</v>
      </c>
      <c r="AH131" s="1">
        <f>(AE131-AE131)/AF131</f>
        <v>0</v>
      </c>
      <c r="AI131" s="1" t="s">
        <v>45</v>
      </c>
      <c r="AJ131" s="1">
        <f>AF143</f>
        <v>0.27825612408037897</v>
      </c>
      <c r="AQ131" s="4">
        <f>1-AR131</f>
        <v>0</v>
      </c>
      <c r="AR131" s="1">
        <v>1</v>
      </c>
      <c r="AS131" s="1">
        <f t="shared" ref="AS131:AS151" si="36">AS$125*$AR131*AS$124/(1+$AR131*AS$123*AS$124)</f>
        <v>1</v>
      </c>
      <c r="AT131" s="1">
        <f>AT$129*(AT$128*(AT$127*SQRT(AT$126^2+$AD131^2)))</f>
        <v>0.67500000000000004</v>
      </c>
      <c r="AU131" s="1">
        <f t="shared" ref="AU131:AU151" si="37">AS131-AT131</f>
        <v>0.32499999999999996</v>
      </c>
      <c r="AV131" s="1">
        <f>(AS131-AS131)/AT131</f>
        <v>0</v>
      </c>
      <c r="AW131" s="1" t="s">
        <v>45</v>
      </c>
      <c r="AX131" s="4">
        <f>AT145</f>
        <v>0.38827602560398117</v>
      </c>
      <c r="AY131" s="4"/>
      <c r="AZ131" s="4"/>
      <c r="BA131" s="4"/>
      <c r="BB131" s="4"/>
      <c r="BC131" s="4"/>
      <c r="BD131" s="4"/>
      <c r="BE131" s="4"/>
      <c r="BF131" s="4"/>
      <c r="BG131" s="4"/>
    </row>
    <row r="132" spans="1:59" x14ac:dyDescent="0.25">
      <c r="A132" s="4">
        <f t="shared" ref="A132:A151" si="38">1-B132</f>
        <v>5.0000000000000044E-2</v>
      </c>
      <c r="B132" s="4">
        <f t="shared" ref="B132:B149" si="39">B131-0.05</f>
        <v>0.95</v>
      </c>
      <c r="C132" s="4">
        <f t="shared" si="29"/>
        <v>0.99418604651162779</v>
      </c>
      <c r="D132" s="1">
        <f t="shared" si="30"/>
        <v>0.42838723720484478</v>
      </c>
      <c r="E132" s="1">
        <f t="shared" si="31"/>
        <v>0.56579880930678295</v>
      </c>
      <c r="F132" s="4">
        <f>(C131-C132)/D132</f>
        <v>1.3571724326586597E-2</v>
      </c>
      <c r="G132" s="1" t="s">
        <v>43</v>
      </c>
      <c r="H132" s="1">
        <f>H130/H131</f>
        <v>0.55024124637437022</v>
      </c>
      <c r="I132" s="4"/>
      <c r="J132" s="4"/>
      <c r="K132" s="4"/>
      <c r="L132" s="4"/>
      <c r="M132" s="4"/>
      <c r="N132" s="4"/>
      <c r="O132" s="4">
        <f t="shared" ref="O132:O151" si="40">1-P132</f>
        <v>5.0000000000000044E-2</v>
      </c>
      <c r="P132" s="4">
        <f t="shared" ref="P132:P150" si="41">P131-0.05</f>
        <v>0.95</v>
      </c>
      <c r="Q132" s="4">
        <f t="shared" si="32"/>
        <v>0.99418604651162779</v>
      </c>
      <c r="R132" s="1">
        <f t="shared" ref="R132:R151" si="42">R$129*(R$128*(R$127*SQRT(R$126^2+$P132^2)))</f>
        <v>0.86713905866292507</v>
      </c>
      <c r="S132" s="1">
        <f t="shared" si="33"/>
        <v>0.12704698784870272</v>
      </c>
      <c r="T132" s="4">
        <f>(Q131-Q132)/R132</f>
        <v>6.7047533268043214E-3</v>
      </c>
      <c r="U132" s="1" t="s">
        <v>43</v>
      </c>
      <c r="V132" s="1">
        <f>V130/V131</f>
        <v>0.10531559707835683</v>
      </c>
      <c r="AC132" s="4">
        <f t="shared" ref="AC132:AC151" si="43">1-AD132</f>
        <v>5.0000000000000044E-2</v>
      </c>
      <c r="AD132" s="1">
        <f t="shared" ref="AD132:AD150" si="44">AD131-0.05</f>
        <v>0.95</v>
      </c>
      <c r="AE132" s="1">
        <f t="shared" si="34"/>
        <v>0.97435897435897434</v>
      </c>
      <c r="AF132" s="1">
        <f t="shared" ref="AF132:AF151" si="45">AF$129*(AF$128*(AF$127*SQRT(AF$126^2+$AD132^2)))</f>
        <v>0.43356952933146248</v>
      </c>
      <c r="AG132" s="1">
        <f t="shared" si="35"/>
        <v>0.54078944502751192</v>
      </c>
      <c r="AH132" s="1">
        <f>(AE131-AE132)/AF132</f>
        <v>5.9139362677452317E-2</v>
      </c>
      <c r="AI132" s="1" t="s">
        <v>43</v>
      </c>
      <c r="AJ132" s="1">
        <f>AJ130/AJ131</f>
        <v>1.5402048382145539</v>
      </c>
      <c r="AQ132" s="4">
        <f t="shared" ref="AQ132:AQ151" si="46">1-AR132</f>
        <v>5.0000000000000044E-2</v>
      </c>
      <c r="AR132" s="1">
        <f t="shared" ref="AR132:AR150" si="47">AR131-0.05</f>
        <v>0.95</v>
      </c>
      <c r="AS132" s="1">
        <f t="shared" si="36"/>
        <v>0.97435897435897434</v>
      </c>
      <c r="AT132" s="1">
        <f t="shared" ref="AT132:AT151" si="48">AT$129*(AT$128*(AT$127*SQRT(AT$126^2+$AD132^2)))</f>
        <v>0.6503542939971938</v>
      </c>
      <c r="AU132" s="1">
        <f t="shared" si="37"/>
        <v>0.32400468036178054</v>
      </c>
      <c r="AV132" s="1">
        <f>(AS131-AS132)/AT132</f>
        <v>3.9426241784968209E-2</v>
      </c>
      <c r="AW132" s="1" t="s">
        <v>43</v>
      </c>
      <c r="AX132" s="4">
        <f>AX130/AX131</f>
        <v>1.3868008915150947</v>
      </c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x14ac:dyDescent="0.25">
      <c r="A133" s="4">
        <f t="shared" si="38"/>
        <v>0.10000000000000009</v>
      </c>
      <c r="B133" s="4">
        <f t="shared" si="39"/>
        <v>0.89999999999999991</v>
      </c>
      <c r="C133" s="4">
        <f t="shared" si="29"/>
        <v>0.98780487804878048</v>
      </c>
      <c r="D133" s="1">
        <f t="shared" si="30"/>
        <v>0.40682282100726314</v>
      </c>
      <c r="E133" s="1">
        <f t="shared" si="31"/>
        <v>0.5809820570415174</v>
      </c>
      <c r="F133" s="4">
        <f>(C131-C133)/D133</f>
        <v>2.9976494241461937E-2</v>
      </c>
      <c r="G133" s="1" t="s">
        <v>46</v>
      </c>
      <c r="H133" s="1">
        <f>E142</f>
        <v>0.66313879075214277</v>
      </c>
      <c r="I133" s="4"/>
      <c r="J133" s="4"/>
      <c r="K133" s="4"/>
      <c r="L133" s="4"/>
      <c r="M133" s="4"/>
      <c r="N133" s="4"/>
      <c r="O133" s="4">
        <f t="shared" si="40"/>
        <v>0.10000000000000009</v>
      </c>
      <c r="P133" s="4">
        <f t="shared" si="41"/>
        <v>0.89999999999999991</v>
      </c>
      <c r="Q133" s="4">
        <f t="shared" si="32"/>
        <v>0.98780487804878048</v>
      </c>
      <c r="R133" s="1">
        <f t="shared" si="42"/>
        <v>0.83476837224113709</v>
      </c>
      <c r="S133" s="1">
        <f t="shared" si="33"/>
        <v>0.15303650580764339</v>
      </c>
      <c r="T133" s="4">
        <f>(Q131-Q133)/R133</f>
        <v>1.4608988980354846E-2</v>
      </c>
      <c r="U133" s="1" t="s">
        <v>46</v>
      </c>
      <c r="V133" s="1">
        <f>S139</f>
        <v>0.27618829516052168</v>
      </c>
      <c r="AC133" s="4">
        <f t="shared" si="43"/>
        <v>0.10000000000000009</v>
      </c>
      <c r="AD133" s="1">
        <f t="shared" si="44"/>
        <v>0.89999999999999991</v>
      </c>
      <c r="AE133" s="1">
        <f t="shared" si="34"/>
        <v>0.94736842105263153</v>
      </c>
      <c r="AF133" s="1">
        <f t="shared" si="45"/>
        <v>0.41738418612056849</v>
      </c>
      <c r="AG133" s="1">
        <f t="shared" si="35"/>
        <v>0.52998423493206304</v>
      </c>
      <c r="AH133" s="1">
        <f>(AE131-AE133)/AF133</f>
        <v>0.12609864172516816</v>
      </c>
      <c r="AI133" s="1" t="s">
        <v>46</v>
      </c>
      <c r="AJ133" s="1">
        <f>AG143</f>
        <v>0.29317244734819209</v>
      </c>
      <c r="AQ133" s="4">
        <f t="shared" si="46"/>
        <v>0.10000000000000009</v>
      </c>
      <c r="AR133" s="1">
        <f t="shared" si="47"/>
        <v>0.89999999999999991</v>
      </c>
      <c r="AS133" s="1">
        <f t="shared" si="36"/>
        <v>0.94736842105263153</v>
      </c>
      <c r="AT133" s="1">
        <f t="shared" si="48"/>
        <v>0.62607627918085285</v>
      </c>
      <c r="AU133" s="1">
        <f t="shared" si="37"/>
        <v>0.32129214187177868</v>
      </c>
      <c r="AV133" s="1">
        <f>(AS131-AS133)/AT133</f>
        <v>8.4065761150112092E-2</v>
      </c>
      <c r="AW133" s="1" t="s">
        <v>46</v>
      </c>
      <c r="AX133" s="4">
        <f>AU145</f>
        <v>7.3262435934480008E-2</v>
      </c>
      <c r="AY133" s="4"/>
      <c r="AZ133" s="4"/>
      <c r="BA133" s="4"/>
      <c r="BB133" s="4"/>
      <c r="BC133" s="4"/>
      <c r="BD133" s="4"/>
      <c r="BE133" s="4"/>
      <c r="BF133" s="4"/>
      <c r="BG133" s="4"/>
    </row>
    <row r="134" spans="1:59" x14ac:dyDescent="0.25">
      <c r="A134" s="4">
        <f t="shared" si="38"/>
        <v>0.15000000000000013</v>
      </c>
      <c r="B134" s="4">
        <f t="shared" si="39"/>
        <v>0.84999999999999987</v>
      </c>
      <c r="C134" s="4">
        <f t="shared" si="29"/>
        <v>0.98076923076923073</v>
      </c>
      <c r="D134" s="1">
        <f t="shared" si="30"/>
        <v>0.38531486874622817</v>
      </c>
      <c r="E134" s="1">
        <f t="shared" si="31"/>
        <v>0.59545436202300261</v>
      </c>
      <c r="F134" s="4">
        <f>(C131-C134)/D134</f>
        <v>4.9909232138754631E-2</v>
      </c>
      <c r="G134" s="1" t="s">
        <v>47</v>
      </c>
      <c r="H134" s="1">
        <f>E142/C131</f>
        <v>0.66313879075214277</v>
      </c>
      <c r="I134" s="4"/>
      <c r="J134" s="4"/>
      <c r="K134" s="4"/>
      <c r="L134" s="4"/>
      <c r="M134" s="4"/>
      <c r="N134" s="4"/>
      <c r="O134" s="4">
        <f t="shared" si="40"/>
        <v>0.15000000000000013</v>
      </c>
      <c r="P134" s="4">
        <f t="shared" si="41"/>
        <v>0.84999999999999987</v>
      </c>
      <c r="Q134" s="4">
        <f t="shared" si="32"/>
        <v>0.98076923076923073</v>
      </c>
      <c r="R134" s="1">
        <f t="shared" si="42"/>
        <v>0.80294723656407352</v>
      </c>
      <c r="S134" s="1">
        <f t="shared" si="33"/>
        <v>0.17782199420515721</v>
      </c>
      <c r="T134" s="4">
        <f>(Q131-Q134)/R134</f>
        <v>2.3950227804582148E-2</v>
      </c>
      <c r="U134" s="1" t="s">
        <v>47</v>
      </c>
      <c r="V134" s="1">
        <f>S139/Q131</f>
        <v>0.27618829516052168</v>
      </c>
      <c r="AC134" s="4">
        <f t="shared" si="43"/>
        <v>0.15000000000000013</v>
      </c>
      <c r="AD134" s="1">
        <f t="shared" si="44"/>
        <v>0.84999999999999987</v>
      </c>
      <c r="AE134" s="1">
        <f t="shared" si="34"/>
        <v>0.91891891891891886</v>
      </c>
      <c r="AF134" s="1">
        <f t="shared" si="45"/>
        <v>0.40147361828203676</v>
      </c>
      <c r="AG134" s="1">
        <f t="shared" si="35"/>
        <v>0.5174453006368821</v>
      </c>
      <c r="AH134" s="1">
        <f>(AE131-AE134)/AF134</f>
        <v>0.20195867770350323</v>
      </c>
      <c r="AI134" s="1" t="s">
        <v>47</v>
      </c>
      <c r="AJ134" s="1">
        <f>AG143/AE131</f>
        <v>0.29317244734819209</v>
      </c>
      <c r="AQ134" s="4">
        <f t="shared" si="46"/>
        <v>0.15000000000000013</v>
      </c>
      <c r="AR134" s="1">
        <f t="shared" si="47"/>
        <v>0.84999999999999987</v>
      </c>
      <c r="AS134" s="1">
        <f t="shared" si="36"/>
        <v>0.91891891891891886</v>
      </c>
      <c r="AT134" s="1">
        <f t="shared" si="48"/>
        <v>0.60221042742305519</v>
      </c>
      <c r="AU134" s="1">
        <f t="shared" si="37"/>
        <v>0.31670849149586366</v>
      </c>
      <c r="AV134" s="1">
        <f>(AS131-AS134)/AT134</f>
        <v>0.13463911846900214</v>
      </c>
      <c r="AW134" s="1" t="s">
        <v>47</v>
      </c>
      <c r="AX134" s="4">
        <f>AU145/AS131</f>
        <v>7.3262435934480008E-2</v>
      </c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x14ac:dyDescent="0.25">
      <c r="A135" s="4">
        <f t="shared" si="38"/>
        <v>0.20000000000000018</v>
      </c>
      <c r="B135" s="4">
        <f t="shared" si="39"/>
        <v>0.79999999999999982</v>
      </c>
      <c r="C135" s="4">
        <f t="shared" si="29"/>
        <v>0.97297297297297292</v>
      </c>
      <c r="D135" s="1">
        <f t="shared" si="30"/>
        <v>0.36387339302818789</v>
      </c>
      <c r="E135" s="1">
        <f t="shared" si="31"/>
        <v>0.60909957994478503</v>
      </c>
      <c r="F135" s="4">
        <f>(C131-C135)/D135</f>
        <v>7.427590899709835E-2</v>
      </c>
      <c r="G135" s="1" t="s">
        <v>48</v>
      </c>
      <c r="H135" s="1">
        <f>D142/D131</f>
        <v>0.48287998190345038</v>
      </c>
      <c r="I135" s="4"/>
      <c r="J135" s="4"/>
      <c r="K135" s="4"/>
      <c r="L135" s="4"/>
      <c r="M135" s="4"/>
      <c r="N135" s="4"/>
      <c r="O135" s="4">
        <f t="shared" si="40"/>
        <v>0.20000000000000018</v>
      </c>
      <c r="P135" s="4">
        <f t="shared" si="41"/>
        <v>0.79999999999999982</v>
      </c>
      <c r="Q135" s="4">
        <f t="shared" si="32"/>
        <v>0.97297297297297292</v>
      </c>
      <c r="R135" s="1">
        <f t="shared" si="42"/>
        <v>0.77174363314128958</v>
      </c>
      <c r="S135" s="1">
        <f t="shared" si="33"/>
        <v>0.20122933983168334</v>
      </c>
      <c r="T135" s="4">
        <f>(Q131-Q135)/R135</f>
        <v>3.5020732101173062E-2</v>
      </c>
      <c r="U135" s="4" t="s">
        <v>48</v>
      </c>
      <c r="V135" s="1">
        <f>R139/R131</f>
        <v>0.72760687510899869</v>
      </c>
      <c r="AC135" s="4">
        <f t="shared" si="43"/>
        <v>0.20000000000000018</v>
      </c>
      <c r="AD135" s="1">
        <f t="shared" si="44"/>
        <v>0.79999999999999982</v>
      </c>
      <c r="AE135" s="1">
        <f t="shared" si="34"/>
        <v>0.88888888888888873</v>
      </c>
      <c r="AF135" s="1">
        <f t="shared" si="45"/>
        <v>0.38587181657064484</v>
      </c>
      <c r="AG135" s="1">
        <f t="shared" si="35"/>
        <v>0.50301707231824389</v>
      </c>
      <c r="AH135" s="1">
        <f>(AE131-AE135)/AF135</f>
        <v>0.287948241720756</v>
      </c>
      <c r="AI135" s="1" t="s">
        <v>48</v>
      </c>
      <c r="AJ135" s="1">
        <f>AF143/AF131</f>
        <v>0.6183469424008422</v>
      </c>
      <c r="AQ135" s="4">
        <f t="shared" si="46"/>
        <v>0.20000000000000018</v>
      </c>
      <c r="AR135" s="1">
        <f t="shared" si="47"/>
        <v>0.79999999999999982</v>
      </c>
      <c r="AS135" s="1">
        <f t="shared" si="36"/>
        <v>0.88888888888888873</v>
      </c>
      <c r="AT135" s="1">
        <f t="shared" si="48"/>
        <v>0.57880772485596721</v>
      </c>
      <c r="AU135" s="1">
        <f t="shared" si="37"/>
        <v>0.31008116403292152</v>
      </c>
      <c r="AV135" s="1">
        <f>(AS131-AS135)/AT135</f>
        <v>0.19196549448050404</v>
      </c>
      <c r="AW135" s="1" t="s">
        <v>48</v>
      </c>
      <c r="AX135" s="4">
        <f>AT145/AT131</f>
        <v>0.57522374163552759</v>
      </c>
      <c r="AY135" s="4"/>
      <c r="AZ135" s="4"/>
      <c r="BA135" s="4"/>
      <c r="BB135" s="4"/>
      <c r="BC135" s="4"/>
      <c r="BD135" s="4"/>
      <c r="BE135" s="4"/>
      <c r="BF135" s="4"/>
      <c r="BG135" s="4"/>
    </row>
    <row r="136" spans="1:59" x14ac:dyDescent="0.25">
      <c r="A136" s="4">
        <f t="shared" si="38"/>
        <v>0.25000000000000022</v>
      </c>
      <c r="B136" s="4">
        <f t="shared" si="39"/>
        <v>0.74999999999999978</v>
      </c>
      <c r="C136" s="4">
        <f t="shared" si="29"/>
        <v>0.9642857142857143</v>
      </c>
      <c r="D136" s="1">
        <f t="shared" si="30"/>
        <v>0.34251087854705703</v>
      </c>
      <c r="E136" s="1">
        <f t="shared" si="31"/>
        <v>0.62177483573865722</v>
      </c>
      <c r="F136" s="4">
        <f>(C131-C136)/D136</f>
        <v>0.10427197485168042</v>
      </c>
      <c r="H136" s="4"/>
      <c r="I136" s="4"/>
      <c r="J136" s="4"/>
      <c r="K136" s="4"/>
      <c r="L136" s="4"/>
      <c r="M136" s="4"/>
      <c r="N136" s="4"/>
      <c r="O136" s="4">
        <f t="shared" si="40"/>
        <v>0.25000000000000022</v>
      </c>
      <c r="P136" s="4">
        <f t="shared" si="41"/>
        <v>0.74999999999999978</v>
      </c>
      <c r="Q136" s="4">
        <f t="shared" si="32"/>
        <v>0.9642857142857143</v>
      </c>
      <c r="R136" s="1">
        <f t="shared" si="42"/>
        <v>0.74123555436772148</v>
      </c>
      <c r="S136" s="1">
        <f t="shared" si="33"/>
        <v>0.22305015991799282</v>
      </c>
      <c r="T136" s="4">
        <f>(Q131-Q136)/R136</f>
        <v>4.8182100148650056E-2</v>
      </c>
      <c r="AC136" s="4">
        <f t="shared" si="43"/>
        <v>0.25000000000000022</v>
      </c>
      <c r="AD136" s="1">
        <f t="shared" si="44"/>
        <v>0.74999999999999978</v>
      </c>
      <c r="AE136" s="1">
        <f t="shared" si="34"/>
        <v>0.85714285714285698</v>
      </c>
      <c r="AF136" s="1">
        <f t="shared" si="45"/>
        <v>0.37061777718386074</v>
      </c>
      <c r="AG136" s="1">
        <f t="shared" si="35"/>
        <v>0.48652507995899624</v>
      </c>
      <c r="AH136" s="1">
        <f>(AE131-AE136)/AF136</f>
        <v>0.385456801189201</v>
      </c>
      <c r="AQ136" s="4">
        <f t="shared" si="46"/>
        <v>0.25000000000000022</v>
      </c>
      <c r="AR136" s="1">
        <f t="shared" si="47"/>
        <v>0.74999999999999978</v>
      </c>
      <c r="AS136" s="1">
        <f t="shared" si="36"/>
        <v>0.85714285714285698</v>
      </c>
      <c r="AT136" s="1">
        <f t="shared" si="48"/>
        <v>0.55592666577579108</v>
      </c>
      <c r="AU136" s="1">
        <f t="shared" si="37"/>
        <v>0.3012161913670659</v>
      </c>
      <c r="AV136" s="1">
        <f>(AS131-AS136)/AT136</f>
        <v>0.25697120079280072</v>
      </c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x14ac:dyDescent="0.25">
      <c r="A137" s="4">
        <f t="shared" si="38"/>
        <v>0.30000000000000027</v>
      </c>
      <c r="B137" s="4">
        <f t="shared" si="39"/>
        <v>0.69999999999999973</v>
      </c>
      <c r="C137" s="4">
        <f t="shared" si="29"/>
        <v>0.95454545454545447</v>
      </c>
      <c r="D137" s="1">
        <f t="shared" si="30"/>
        <v>0.32124307834506766</v>
      </c>
      <c r="E137" s="1">
        <f t="shared" si="31"/>
        <v>0.63330237620038687</v>
      </c>
      <c r="F137" s="4">
        <f>(C131-C137)/D137</f>
        <v>0.14149579716615684</v>
      </c>
      <c r="H137" s="4"/>
      <c r="I137" s="4"/>
      <c r="J137" s="4"/>
      <c r="K137" s="4"/>
      <c r="L137" s="4"/>
      <c r="M137" s="4"/>
      <c r="N137" s="4"/>
      <c r="O137" s="4">
        <f t="shared" si="40"/>
        <v>0.30000000000000027</v>
      </c>
      <c r="P137" s="4">
        <f t="shared" si="41"/>
        <v>0.69999999999999973</v>
      </c>
      <c r="Q137" s="4">
        <f t="shared" si="32"/>
        <v>0.95454545454545447</v>
      </c>
      <c r="R137" s="1">
        <f t="shared" si="42"/>
        <v>0.71151247353788527</v>
      </c>
      <c r="S137" s="1">
        <f t="shared" si="33"/>
        <v>0.2430329810075692</v>
      </c>
      <c r="T137" s="4">
        <f>(Q131-Q137)/R137</f>
        <v>6.3884397175118887E-2</v>
      </c>
      <c r="AC137" s="4">
        <f t="shared" si="43"/>
        <v>0.30000000000000027</v>
      </c>
      <c r="AD137" s="1">
        <f t="shared" si="44"/>
        <v>0.69999999999999973</v>
      </c>
      <c r="AE137" s="1">
        <f t="shared" si="34"/>
        <v>0.82352941176470573</v>
      </c>
      <c r="AF137" s="1">
        <f t="shared" si="45"/>
        <v>0.35575623676894258</v>
      </c>
      <c r="AG137" s="1">
        <f t="shared" si="35"/>
        <v>0.46777317499576315</v>
      </c>
      <c r="AH137" s="1">
        <f>(AE131-AE137)/AF137</f>
        <v>0.4960435545362169</v>
      </c>
      <c r="AQ137" s="4">
        <f t="shared" si="46"/>
        <v>0.30000000000000027</v>
      </c>
      <c r="AR137" s="1">
        <f t="shared" si="47"/>
        <v>0.69999999999999973</v>
      </c>
      <c r="AS137" s="1">
        <f t="shared" si="36"/>
        <v>0.82352941176470573</v>
      </c>
      <c r="AT137" s="1">
        <f t="shared" si="48"/>
        <v>0.53363435515341395</v>
      </c>
      <c r="AU137" s="1">
        <f t="shared" si="37"/>
        <v>0.28989505661129178</v>
      </c>
      <c r="AV137" s="1">
        <f>(AS131-AS137)/AT137</f>
        <v>0.33069570302414458</v>
      </c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pans="1:59" x14ac:dyDescent="0.25">
      <c r="A138" s="4">
        <f t="shared" si="38"/>
        <v>0.35000000000000031</v>
      </c>
      <c r="B138" s="4">
        <f t="shared" si="39"/>
        <v>0.64999999999999969</v>
      </c>
      <c r="C138" s="4">
        <f t="shared" si="29"/>
        <v>0.94354838709677413</v>
      </c>
      <c r="D138" s="1">
        <f t="shared" si="30"/>
        <v>0.30009013069153317</v>
      </c>
      <c r="E138" s="4">
        <f t="shared" si="31"/>
        <v>0.6434582564052409</v>
      </c>
      <c r="F138" s="4">
        <f>(C131-C138)/D138</f>
        <v>0.18811552640247695</v>
      </c>
      <c r="H138" s="4"/>
      <c r="I138" s="4"/>
      <c r="J138" s="4"/>
      <c r="K138" s="4"/>
      <c r="L138" s="4"/>
      <c r="M138" s="4"/>
      <c r="N138" s="4"/>
      <c r="O138" s="4">
        <f t="shared" si="40"/>
        <v>0.35000000000000031</v>
      </c>
      <c r="P138" s="4">
        <f t="shared" si="41"/>
        <v>0.64999999999999969</v>
      </c>
      <c r="Q138" s="4">
        <f t="shared" si="32"/>
        <v>0.94354838709677413</v>
      </c>
      <c r="R138" s="1">
        <f t="shared" si="42"/>
        <v>0.68267693246340677</v>
      </c>
      <c r="S138" s="4">
        <f t="shared" si="33"/>
        <v>0.26087145463336736</v>
      </c>
      <c r="T138" s="4">
        <f>(Q131-Q138)/R138</f>
        <v>8.2691548840712906E-2</v>
      </c>
      <c r="AC138" s="4">
        <f t="shared" si="43"/>
        <v>0.35000000000000031</v>
      </c>
      <c r="AD138" s="4">
        <f t="shared" si="44"/>
        <v>0.64999999999999969</v>
      </c>
      <c r="AE138" s="4">
        <f t="shared" si="34"/>
        <v>0.78787878787878762</v>
      </c>
      <c r="AF138" s="1">
        <f t="shared" si="45"/>
        <v>0.34133846623170333</v>
      </c>
      <c r="AG138" s="4">
        <f t="shared" si="35"/>
        <v>0.44654032164708429</v>
      </c>
      <c r="AH138" s="4">
        <f>(AE131-AE138)/AF138</f>
        <v>0.62143951856050927</v>
      </c>
      <c r="AQ138" s="4">
        <f t="shared" si="46"/>
        <v>0.35000000000000031</v>
      </c>
      <c r="AR138" s="1">
        <f t="shared" si="47"/>
        <v>0.64999999999999969</v>
      </c>
      <c r="AS138" s="1">
        <f t="shared" si="36"/>
        <v>0.78787878787878762</v>
      </c>
      <c r="AT138" s="1">
        <f t="shared" si="48"/>
        <v>0.51200769934755508</v>
      </c>
      <c r="AU138" s="4">
        <f t="shared" si="37"/>
        <v>0.27587108853123254</v>
      </c>
      <c r="AV138" s="1">
        <f>(AS131-AS138)/AT138</f>
        <v>0.41429301237367278</v>
      </c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x14ac:dyDescent="0.25">
      <c r="A139" s="4">
        <f t="shared" si="38"/>
        <v>0.40000000000000036</v>
      </c>
      <c r="B139" s="4">
        <f t="shared" si="39"/>
        <v>0.59999999999999964</v>
      </c>
      <c r="C139" s="4">
        <f t="shared" si="29"/>
        <v>0.93103448275862055</v>
      </c>
      <c r="D139" s="1">
        <f t="shared" si="30"/>
        <v>0.27907815282571885</v>
      </c>
      <c r="E139" s="4">
        <f t="shared" si="31"/>
        <v>0.65195632993290165</v>
      </c>
      <c r="F139" s="4">
        <f>(C131-C139)/D139</f>
        <v>0.2471190114421018</v>
      </c>
      <c r="H139" s="4"/>
      <c r="I139" s="4"/>
      <c r="J139" s="4"/>
      <c r="K139" s="4"/>
      <c r="L139" s="4"/>
      <c r="M139" s="4"/>
      <c r="N139" s="4"/>
      <c r="O139" s="4">
        <f t="shared" si="40"/>
        <v>0.40000000000000036</v>
      </c>
      <c r="P139" s="4">
        <f t="shared" si="41"/>
        <v>0.59999999999999964</v>
      </c>
      <c r="Q139" s="4">
        <f t="shared" si="32"/>
        <v>0.93103448275862055</v>
      </c>
      <c r="R139" s="1">
        <f t="shared" si="42"/>
        <v>0.65484618759809887</v>
      </c>
      <c r="S139" s="4">
        <f t="shared" si="33"/>
        <v>0.27618829516052168</v>
      </c>
      <c r="T139" s="4">
        <f>(Q131-Q139)/R139</f>
        <v>0.10531559707835683</v>
      </c>
      <c r="AC139" s="4">
        <f t="shared" si="43"/>
        <v>0.40000000000000036</v>
      </c>
      <c r="AD139" s="4">
        <f t="shared" si="44"/>
        <v>0.59999999999999964</v>
      </c>
      <c r="AE139" s="4">
        <f t="shared" si="34"/>
        <v>0.74999999999999967</v>
      </c>
      <c r="AF139" s="4">
        <f t="shared" si="45"/>
        <v>0.32742309379904944</v>
      </c>
      <c r="AG139" s="4">
        <f t="shared" si="35"/>
        <v>0.42257690620095023</v>
      </c>
      <c r="AH139" s="4">
        <f>(AE131-AE139)/AF139</f>
        <v>0.76353807881808644</v>
      </c>
      <c r="AI139" s="4"/>
      <c r="AJ139" s="4"/>
      <c r="AK139" s="4"/>
      <c r="AL139" s="4"/>
      <c r="AM139" s="4"/>
      <c r="AN139" s="4"/>
      <c r="AO139" s="4"/>
      <c r="AP139" s="4"/>
      <c r="AQ139" s="4">
        <f t="shared" si="46"/>
        <v>0.40000000000000036</v>
      </c>
      <c r="AR139" s="4">
        <f t="shared" si="47"/>
        <v>0.59999999999999964</v>
      </c>
      <c r="AS139" s="4">
        <f t="shared" si="36"/>
        <v>0.74999999999999967</v>
      </c>
      <c r="AT139" s="4">
        <f t="shared" si="48"/>
        <v>0.49113464069857421</v>
      </c>
      <c r="AU139" s="4">
        <f t="shared" si="37"/>
        <v>0.25886535930142546</v>
      </c>
      <c r="AV139" s="4">
        <f>(AS131-AS139)/AT139</f>
        <v>0.50902538587872426</v>
      </c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spans="1:59" x14ac:dyDescent="0.25">
      <c r="A140" s="4">
        <f t="shared" si="38"/>
        <v>0.4500000000000004</v>
      </c>
      <c r="B140" s="4">
        <f t="shared" si="39"/>
        <v>0.5499999999999996</v>
      </c>
      <c r="C140" s="4">
        <f t="shared" si="29"/>
        <v>0.91666666666666663</v>
      </c>
      <c r="D140" s="1">
        <f t="shared" si="30"/>
        <v>0.25824155731229015</v>
      </c>
      <c r="E140" s="4">
        <f t="shared" si="31"/>
        <v>0.65842510935437648</v>
      </c>
      <c r="F140" s="4">
        <f>(C139-C140)/D140</f>
        <v>5.5637118368903726E-2</v>
      </c>
      <c r="H140" s="4"/>
      <c r="I140" s="4"/>
      <c r="J140" s="4"/>
      <c r="K140" s="4"/>
      <c r="L140" s="4"/>
      <c r="M140" s="4"/>
      <c r="N140" s="4"/>
      <c r="O140" s="4">
        <f t="shared" si="40"/>
        <v>0.4500000000000004</v>
      </c>
      <c r="P140" s="4">
        <f t="shared" si="41"/>
        <v>0.5499999999999996</v>
      </c>
      <c r="Q140" s="4">
        <f t="shared" si="32"/>
        <v>0.91666666666666663</v>
      </c>
      <c r="R140" s="1">
        <f t="shared" si="42"/>
        <v>0.62815380750446193</v>
      </c>
      <c r="S140" s="4">
        <f t="shared" si="33"/>
        <v>0.2885128591622047</v>
      </c>
      <c r="T140" s="4">
        <f>(Q139-Q140)/R140</f>
        <v>2.2873086050428603E-2</v>
      </c>
      <c r="AC140" s="4">
        <f t="shared" si="43"/>
        <v>0.4500000000000004</v>
      </c>
      <c r="AD140" s="4">
        <f t="shared" si="44"/>
        <v>0.5499999999999996</v>
      </c>
      <c r="AE140" s="4">
        <f t="shared" si="34"/>
        <v>0.70967741935483841</v>
      </c>
      <c r="AF140" s="4">
        <f t="shared" si="45"/>
        <v>0.31407690375223102</v>
      </c>
      <c r="AG140" s="4">
        <f t="shared" si="35"/>
        <v>0.39560051560260739</v>
      </c>
      <c r="AH140" s="4">
        <f>(AE139-AE140)/AF140</f>
        <v>0.12838441847660001</v>
      </c>
      <c r="AI140" s="4"/>
      <c r="AJ140" s="4"/>
      <c r="AK140" s="4"/>
      <c r="AL140" s="4"/>
      <c r="AM140" s="4"/>
      <c r="AN140" s="4"/>
      <c r="AO140" s="4"/>
      <c r="AP140" s="4"/>
      <c r="AQ140" s="4">
        <f t="shared" si="46"/>
        <v>0.4500000000000004</v>
      </c>
      <c r="AR140" s="4">
        <f t="shared" si="47"/>
        <v>0.5499999999999996</v>
      </c>
      <c r="AS140" s="4">
        <f t="shared" si="36"/>
        <v>0.70967741935483841</v>
      </c>
      <c r="AT140" s="4">
        <f t="shared" si="48"/>
        <v>0.4711153556283465</v>
      </c>
      <c r="AU140" s="4">
        <f t="shared" si="37"/>
        <v>0.23856206372649191</v>
      </c>
      <c r="AV140" s="4">
        <f>(AS139-AS140)/AT140</f>
        <v>8.5589612317733349E-2</v>
      </c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x14ac:dyDescent="0.25">
      <c r="A141" s="4">
        <f t="shared" si="38"/>
        <v>0.50000000000000044</v>
      </c>
      <c r="B141" s="4">
        <f t="shared" si="39"/>
        <v>0.49999999999999961</v>
      </c>
      <c r="C141" s="4">
        <f t="shared" si="29"/>
        <v>0.89999999999999991</v>
      </c>
      <c r="D141" s="1">
        <f t="shared" si="30"/>
        <v>0.23762648453791102</v>
      </c>
      <c r="E141" s="4">
        <f t="shared" si="31"/>
        <v>0.66237351546208889</v>
      </c>
      <c r="F141" s="4">
        <f>(C139-C141)/D141</f>
        <v>0.13060195213075834</v>
      </c>
      <c r="H141" s="4"/>
      <c r="I141" s="4"/>
      <c r="J141" s="4"/>
      <c r="K141" s="4"/>
      <c r="L141" s="4"/>
      <c r="M141" s="4"/>
      <c r="N141" s="4"/>
      <c r="O141" s="4">
        <f t="shared" si="40"/>
        <v>0.50000000000000044</v>
      </c>
      <c r="P141" s="4">
        <f t="shared" si="41"/>
        <v>0.49999999999999961</v>
      </c>
      <c r="Q141" s="4">
        <f t="shared" si="32"/>
        <v>0.89999999999999991</v>
      </c>
      <c r="R141" s="1">
        <f t="shared" si="42"/>
        <v>0.60275104606247809</v>
      </c>
      <c r="S141" s="4">
        <f t="shared" si="33"/>
        <v>0.29724895393752182</v>
      </c>
      <c r="T141" s="4">
        <f>(Q139-Q141)/R141</f>
        <v>5.1488061217572344E-2</v>
      </c>
      <c r="AC141" s="4">
        <f t="shared" si="43"/>
        <v>0.50000000000000044</v>
      </c>
      <c r="AD141" s="4">
        <f t="shared" si="44"/>
        <v>0.49999999999999961</v>
      </c>
      <c r="AE141" s="4">
        <f t="shared" si="34"/>
        <v>0.6666666666666663</v>
      </c>
      <c r="AF141" s="4">
        <f t="shared" si="45"/>
        <v>0.30137552303123905</v>
      </c>
      <c r="AG141" s="4">
        <f t="shared" si="35"/>
        <v>0.36529114363542725</v>
      </c>
      <c r="AH141" s="4">
        <f>(AE139-AE141)/AF141</f>
        <v>0.27650995839066683</v>
      </c>
      <c r="AI141" s="4"/>
      <c r="AJ141" s="4"/>
      <c r="AK141" s="4"/>
      <c r="AL141" s="4"/>
      <c r="AM141" s="4"/>
      <c r="AN141" s="4"/>
      <c r="AO141" s="4"/>
      <c r="AP141" s="4"/>
      <c r="AQ141" s="4">
        <f t="shared" si="46"/>
        <v>0.50000000000000044</v>
      </c>
      <c r="AR141" s="4">
        <f t="shared" si="47"/>
        <v>0.49999999999999961</v>
      </c>
      <c r="AS141" s="4">
        <f t="shared" si="36"/>
        <v>0.6666666666666663</v>
      </c>
      <c r="AT141" s="4">
        <f t="shared" si="48"/>
        <v>0.45206328454685857</v>
      </c>
      <c r="AU141" s="4">
        <f t="shared" si="37"/>
        <v>0.21460338211980773</v>
      </c>
      <c r="AV141" s="4">
        <f>(AS139-AS141)/AT141</f>
        <v>0.18433997226044457</v>
      </c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spans="1:59" x14ac:dyDescent="0.25">
      <c r="A142" s="4">
        <f t="shared" si="38"/>
        <v>0.55000000000000038</v>
      </c>
      <c r="B142" s="4">
        <f t="shared" si="39"/>
        <v>0.44999999999999962</v>
      </c>
      <c r="C142" s="4">
        <f t="shared" si="29"/>
        <v>0.88043478260869545</v>
      </c>
      <c r="D142" s="1">
        <f t="shared" si="30"/>
        <v>0.21729599185655268</v>
      </c>
      <c r="E142" s="4">
        <f t="shared" si="31"/>
        <v>0.66313879075214277</v>
      </c>
      <c r="F142" s="4">
        <f>(C139-C142)/D142</f>
        <v>0.23286071555028195</v>
      </c>
      <c r="H142" s="4"/>
      <c r="I142" s="4"/>
      <c r="J142" s="4"/>
      <c r="K142" s="4"/>
      <c r="L142" s="4"/>
      <c r="M142" s="4"/>
      <c r="N142" s="4"/>
      <c r="O142" s="4">
        <f t="shared" si="40"/>
        <v>0.55000000000000038</v>
      </c>
      <c r="P142" s="4">
        <f t="shared" si="41"/>
        <v>0.44999999999999962</v>
      </c>
      <c r="Q142" s="4">
        <f t="shared" si="32"/>
        <v>0.88043478260869545</v>
      </c>
      <c r="R142" s="1">
        <f t="shared" si="42"/>
        <v>0.57880772485596721</v>
      </c>
      <c r="S142" s="4">
        <f t="shared" si="33"/>
        <v>0.30162705775272824</v>
      </c>
      <c r="T142" s="4">
        <f>(Q139-Q142)/R142</f>
        <v>8.7420568138610322E-2</v>
      </c>
      <c r="AC142" s="4">
        <f t="shared" si="43"/>
        <v>0.55000000000000038</v>
      </c>
      <c r="AD142" s="4">
        <f t="shared" si="44"/>
        <v>0.44999999999999962</v>
      </c>
      <c r="AE142" s="4">
        <f t="shared" si="34"/>
        <v>0.62068965517241337</v>
      </c>
      <c r="AF142" s="4">
        <f t="shared" si="45"/>
        <v>0.2894038624279836</v>
      </c>
      <c r="AG142" s="4">
        <f t="shared" si="35"/>
        <v>0.33128579274442976</v>
      </c>
      <c r="AH142" s="4">
        <f>(AE139-AE142)/AF142</f>
        <v>0.44681623715289698</v>
      </c>
      <c r="AI142" s="4"/>
      <c r="AJ142" s="4"/>
      <c r="AK142" s="4"/>
      <c r="AL142" s="4"/>
      <c r="AM142" s="4"/>
      <c r="AN142" s="4"/>
      <c r="AO142" s="4"/>
      <c r="AP142" s="4"/>
      <c r="AQ142" s="4">
        <f t="shared" si="46"/>
        <v>0.55000000000000038</v>
      </c>
      <c r="AR142" s="4">
        <f t="shared" si="47"/>
        <v>0.44999999999999962</v>
      </c>
      <c r="AS142" s="4">
        <f t="shared" si="36"/>
        <v>0.62068965517241337</v>
      </c>
      <c r="AT142" s="4">
        <f t="shared" si="48"/>
        <v>0.43410579364197543</v>
      </c>
      <c r="AU142" s="4">
        <f t="shared" si="37"/>
        <v>0.18658386153043793</v>
      </c>
      <c r="AV142" s="4">
        <f>(AS139-AS142)/AT142</f>
        <v>0.29787749143526465</v>
      </c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x14ac:dyDescent="0.25">
      <c r="A143" s="4">
        <f t="shared" si="38"/>
        <v>0.60000000000000031</v>
      </c>
      <c r="B143" s="4">
        <f t="shared" si="39"/>
        <v>0.39999999999999963</v>
      </c>
      <c r="C143" s="4">
        <f t="shared" si="29"/>
        <v>0.85714285714285687</v>
      </c>
      <c r="D143" s="1">
        <f t="shared" si="30"/>
        <v>0.19733805434408141</v>
      </c>
      <c r="E143" s="4">
        <f t="shared" si="31"/>
        <v>0.65980480279877551</v>
      </c>
      <c r="F143" s="4">
        <f>(C139-C143)/D143</f>
        <v>0.37444184732319902</v>
      </c>
      <c r="H143" s="4"/>
      <c r="I143" s="4"/>
      <c r="J143" s="4"/>
      <c r="K143" s="4"/>
      <c r="L143" s="4"/>
      <c r="M143" s="4"/>
      <c r="N143" s="4"/>
      <c r="O143" s="4">
        <f t="shared" si="40"/>
        <v>0.60000000000000031</v>
      </c>
      <c r="P143" s="4">
        <f t="shared" si="41"/>
        <v>0.39999999999999963</v>
      </c>
      <c r="Q143" s="4">
        <f t="shared" si="32"/>
        <v>0.85714285714285687</v>
      </c>
      <c r="R143" s="1">
        <f t="shared" si="42"/>
        <v>0.55651224816075795</v>
      </c>
      <c r="S143" s="4">
        <f t="shared" si="33"/>
        <v>0.30063060898209892</v>
      </c>
      <c r="T143" s="4">
        <f>(Q139-Q143)/R143</f>
        <v>0.13277627915642717</v>
      </c>
      <c r="AC143" s="4">
        <f t="shared" si="43"/>
        <v>0.60000000000000031</v>
      </c>
      <c r="AD143" s="4">
        <f t="shared" si="44"/>
        <v>0.39999999999999963</v>
      </c>
      <c r="AE143" s="4">
        <f t="shared" si="34"/>
        <v>0.57142857142857106</v>
      </c>
      <c r="AF143" s="4">
        <f t="shared" si="45"/>
        <v>0.27825612408037897</v>
      </c>
      <c r="AG143" s="4">
        <f t="shared" si="35"/>
        <v>0.29317244734819209</v>
      </c>
      <c r="AH143" s="4">
        <f>(AE139-AE143)/AF143</f>
        <v>0.64175201592273035</v>
      </c>
      <c r="AI143" s="4"/>
      <c r="AJ143" s="4"/>
      <c r="AK143" s="4"/>
      <c r="AL143" s="4"/>
      <c r="AM143" s="4"/>
      <c r="AN143" s="4"/>
      <c r="AO143" s="4"/>
      <c r="AP143" s="4"/>
      <c r="AQ143" s="4">
        <f t="shared" si="46"/>
        <v>0.60000000000000031</v>
      </c>
      <c r="AR143" s="4">
        <f t="shared" si="47"/>
        <v>0.39999999999999963</v>
      </c>
      <c r="AS143" s="4">
        <f t="shared" si="36"/>
        <v>0.57142857142857106</v>
      </c>
      <c r="AT143" s="4">
        <f t="shared" si="48"/>
        <v>0.41738418612056849</v>
      </c>
      <c r="AU143" s="4">
        <f t="shared" si="37"/>
        <v>0.15404438530800257</v>
      </c>
      <c r="AV143" s="4">
        <f>(AS139-AS143)/AT143</f>
        <v>0.42783467728182023</v>
      </c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spans="1:59" x14ac:dyDescent="0.25">
      <c r="A144" s="4">
        <f t="shared" si="38"/>
        <v>0.65000000000000036</v>
      </c>
      <c r="B144" s="4">
        <f t="shared" si="39"/>
        <v>0.34999999999999964</v>
      </c>
      <c r="C144" s="4">
        <f t="shared" si="29"/>
        <v>0.82894736842105243</v>
      </c>
      <c r="D144" s="1">
        <f t="shared" si="30"/>
        <v>0.17787811838447121</v>
      </c>
      <c r="E144" s="4">
        <f t="shared" si="31"/>
        <v>0.65106925003658123</v>
      </c>
      <c r="F144" s="4">
        <f>(C139-C144)/D144</f>
        <v>0.57391609077466121</v>
      </c>
      <c r="H144" s="4"/>
      <c r="I144" s="4"/>
      <c r="J144" s="4"/>
      <c r="K144" s="4"/>
      <c r="L144" s="4"/>
      <c r="M144" s="4"/>
      <c r="N144" s="4"/>
      <c r="O144" s="4">
        <f t="shared" si="40"/>
        <v>0.65000000000000036</v>
      </c>
      <c r="P144" s="4">
        <f t="shared" si="41"/>
        <v>0.34999999999999964</v>
      </c>
      <c r="Q144" s="4">
        <f t="shared" si="32"/>
        <v>0.82894736842105243</v>
      </c>
      <c r="R144" s="1">
        <f t="shared" si="42"/>
        <v>0.53607025988149315</v>
      </c>
      <c r="S144" s="4">
        <f t="shared" si="33"/>
        <v>0.29287710853955928</v>
      </c>
      <c r="T144" s="4">
        <f>(Q139-Q144)/R144</f>
        <v>0.19043607149580746</v>
      </c>
      <c r="AC144" s="4">
        <f t="shared" si="43"/>
        <v>0.65000000000000036</v>
      </c>
      <c r="AD144" s="4">
        <f t="shared" si="44"/>
        <v>0.34999999999999964</v>
      </c>
      <c r="AE144" s="4">
        <f t="shared" si="34"/>
        <v>0.51851851851851816</v>
      </c>
      <c r="AF144" s="4">
        <f t="shared" si="45"/>
        <v>0.26803512994074657</v>
      </c>
      <c r="AG144" s="4">
        <f t="shared" si="35"/>
        <v>0.25048338857777158</v>
      </c>
      <c r="AH144" s="4">
        <f>(AE139-AE144)/AF144</f>
        <v>0.86362366579580141</v>
      </c>
      <c r="AI144" s="4"/>
      <c r="AJ144" s="4"/>
      <c r="AK144" s="4"/>
      <c r="AL144" s="4"/>
      <c r="AM144" s="4"/>
      <c r="AN144" s="4"/>
      <c r="AO144" s="4"/>
      <c r="AP144" s="4"/>
      <c r="AQ144" s="4">
        <f t="shared" si="46"/>
        <v>0.65000000000000036</v>
      </c>
      <c r="AR144" s="4">
        <f t="shared" si="47"/>
        <v>0.34999999999999964</v>
      </c>
      <c r="AS144" s="4">
        <f t="shared" si="36"/>
        <v>0.51851851851851816</v>
      </c>
      <c r="AT144" s="4">
        <f t="shared" si="48"/>
        <v>0.40205269491111989</v>
      </c>
      <c r="AU144" s="4">
        <f t="shared" si="37"/>
        <v>0.11646582360739827</v>
      </c>
      <c r="AV144" s="4">
        <f>(AS139-AS144)/AT144</f>
        <v>0.57574911053053424</v>
      </c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x14ac:dyDescent="0.25">
      <c r="A145" s="4">
        <f t="shared" si="38"/>
        <v>0.7000000000000004</v>
      </c>
      <c r="B145" s="4">
        <f t="shared" si="39"/>
        <v>0.29999999999999966</v>
      </c>
      <c r="C145" s="4">
        <f t="shared" si="29"/>
        <v>0.79411764705882326</v>
      </c>
      <c r="D145" s="1">
        <f t="shared" si="30"/>
        <v>0.15909902576697305</v>
      </c>
      <c r="E145" s="4">
        <f t="shared" si="31"/>
        <v>0.63501862129185027</v>
      </c>
      <c r="F145" s="4">
        <f>(C139-C145)/D145</f>
        <v>0.8605762042838323</v>
      </c>
      <c r="H145" s="4"/>
      <c r="I145" s="4"/>
      <c r="J145" s="4"/>
      <c r="K145" s="4"/>
      <c r="L145" s="4"/>
      <c r="M145" s="4"/>
      <c r="N145" s="4"/>
      <c r="O145" s="4">
        <f t="shared" si="40"/>
        <v>0.7000000000000004</v>
      </c>
      <c r="P145" s="4">
        <f t="shared" si="41"/>
        <v>0.29999999999999966</v>
      </c>
      <c r="Q145" s="4">
        <f t="shared" si="32"/>
        <v>0.79411764705882326</v>
      </c>
      <c r="R145" s="1">
        <f t="shared" si="42"/>
        <v>0.51770136747197493</v>
      </c>
      <c r="S145" s="4">
        <f t="shared" si="33"/>
        <v>0.27641627958684833</v>
      </c>
      <c r="T145" s="4">
        <f>(Q139-Q145)/R145</f>
        <v>0.26447068580943839</v>
      </c>
      <c r="AC145" s="4">
        <f t="shared" si="43"/>
        <v>0.7000000000000004</v>
      </c>
      <c r="AD145" s="4">
        <f t="shared" si="44"/>
        <v>0.29999999999999966</v>
      </c>
      <c r="AE145" s="4">
        <f t="shared" si="34"/>
        <v>0.46153846153846118</v>
      </c>
      <c r="AF145" s="4">
        <f t="shared" si="45"/>
        <v>0.25885068373598746</v>
      </c>
      <c r="AG145" s="4">
        <f t="shared" si="35"/>
        <v>0.20268777780247371</v>
      </c>
      <c r="AH145" s="4">
        <f>(AE139-AE145)/AF145</f>
        <v>1.1143935735389148</v>
      </c>
      <c r="AI145" s="4"/>
      <c r="AJ145" s="4"/>
      <c r="AK145" s="4"/>
      <c r="AL145" s="4"/>
      <c r="AM145" s="4"/>
      <c r="AN145" s="4"/>
      <c r="AO145" s="4"/>
      <c r="AP145" s="4"/>
      <c r="AQ145" s="4">
        <f t="shared" si="46"/>
        <v>0.7000000000000004</v>
      </c>
      <c r="AR145" s="4">
        <f t="shared" si="47"/>
        <v>0.29999999999999966</v>
      </c>
      <c r="AS145" s="4">
        <f t="shared" si="36"/>
        <v>0.46153846153846118</v>
      </c>
      <c r="AT145" s="4">
        <f t="shared" si="48"/>
        <v>0.38827602560398117</v>
      </c>
      <c r="AU145" s="4">
        <f t="shared" si="37"/>
        <v>7.3262435934480008E-2</v>
      </c>
      <c r="AV145" s="4">
        <f>(AS139-AS145)/AT145</f>
        <v>0.74292904902594314</v>
      </c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spans="1:59" x14ac:dyDescent="0.25">
      <c r="A146" s="4">
        <f t="shared" si="38"/>
        <v>0.75000000000000033</v>
      </c>
      <c r="B146" s="4">
        <f t="shared" si="39"/>
        <v>0.24999999999999967</v>
      </c>
      <c r="C146" s="4">
        <f t="shared" si="29"/>
        <v>0.74999999999999967</v>
      </c>
      <c r="D146" s="1">
        <f t="shared" si="30"/>
        <v>0.14127254755368313</v>
      </c>
      <c r="E146" s="4">
        <f t="shared" si="31"/>
        <v>0.60872745244631654</v>
      </c>
      <c r="F146" s="4">
        <f>(C139-C146)/D146</f>
        <v>1.2814554978547998</v>
      </c>
      <c r="H146" s="4"/>
      <c r="I146" s="4"/>
      <c r="J146" s="4"/>
      <c r="K146" s="4"/>
      <c r="L146" s="4"/>
      <c r="M146" s="4"/>
      <c r="N146" s="4"/>
      <c r="O146" s="4">
        <f t="shared" si="40"/>
        <v>0.75000000000000033</v>
      </c>
      <c r="P146" s="4">
        <f t="shared" si="41"/>
        <v>0.24999999999999967</v>
      </c>
      <c r="Q146" s="4">
        <f t="shared" si="32"/>
        <v>0.74999999999999967</v>
      </c>
      <c r="R146" s="1">
        <f t="shared" si="42"/>
        <v>0.50163336154183835</v>
      </c>
      <c r="S146" s="4">
        <f t="shared" si="33"/>
        <v>0.24836663845816132</v>
      </c>
      <c r="T146" s="4">
        <f>(Q139-Q146)/R146</f>
        <v>0.36089003770041689</v>
      </c>
      <c r="AC146" s="4">
        <f t="shared" si="43"/>
        <v>0.75000000000000033</v>
      </c>
      <c r="AD146" s="4">
        <f t="shared" si="44"/>
        <v>0.24999999999999967</v>
      </c>
      <c r="AE146" s="4">
        <f t="shared" si="34"/>
        <v>0.39999999999999963</v>
      </c>
      <c r="AF146" s="4">
        <f t="shared" si="45"/>
        <v>0.25081668077091918</v>
      </c>
      <c r="AG146" s="4">
        <f t="shared" si="35"/>
        <v>0.14918331922908046</v>
      </c>
      <c r="AH146" s="4">
        <f>(AE139-AE146)/AF146</f>
        <v>1.3954414791082772</v>
      </c>
      <c r="AI146" s="4"/>
      <c r="AJ146" s="4"/>
      <c r="AK146" s="4"/>
      <c r="AL146" s="4"/>
      <c r="AM146" s="4"/>
      <c r="AN146" s="4"/>
      <c r="AO146" s="4"/>
      <c r="AP146" s="4"/>
      <c r="AQ146" s="4">
        <f t="shared" si="46"/>
        <v>0.75000000000000033</v>
      </c>
      <c r="AR146" s="4">
        <f t="shared" si="47"/>
        <v>0.24999999999999967</v>
      </c>
      <c r="AS146" s="4">
        <f t="shared" si="36"/>
        <v>0.39999999999999963</v>
      </c>
      <c r="AT146" s="4">
        <f t="shared" si="48"/>
        <v>0.37622502115637879</v>
      </c>
      <c r="AU146" s="4">
        <f t="shared" si="37"/>
        <v>2.3774978843620842E-2</v>
      </c>
      <c r="AV146" s="4">
        <f>(AS139-AS146)/AT146</f>
        <v>0.93029431940551799</v>
      </c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x14ac:dyDescent="0.25">
      <c r="A147" s="4">
        <f t="shared" si="38"/>
        <v>0.80000000000000027</v>
      </c>
      <c r="B147" s="4">
        <f>B146-0.05</f>
        <v>0.19999999999999968</v>
      </c>
      <c r="C147" s="4">
        <f t="shared" si="29"/>
        <v>0.69230769230769185</v>
      </c>
      <c r="D147" s="1">
        <f t="shared" si="30"/>
        <v>0.12480754415067646</v>
      </c>
      <c r="E147" s="4">
        <f t="shared" si="31"/>
        <v>0.56750014815701544</v>
      </c>
      <c r="F147" s="4">
        <f>(C139-C147)/D147</f>
        <v>1.9127592973283802</v>
      </c>
      <c r="H147" s="4"/>
      <c r="I147" s="4"/>
      <c r="J147" s="4"/>
      <c r="K147" s="4"/>
      <c r="L147" s="4"/>
      <c r="M147" s="4"/>
      <c r="N147" s="4"/>
      <c r="O147" s="4">
        <f t="shared" si="40"/>
        <v>0.80000000000000027</v>
      </c>
      <c r="P147" s="4">
        <f t="shared" si="41"/>
        <v>0.19999999999999968</v>
      </c>
      <c r="Q147" s="4">
        <f t="shared" si="32"/>
        <v>0.69230769230769185</v>
      </c>
      <c r="R147" s="1">
        <f t="shared" si="42"/>
        <v>0.48809353009197637</v>
      </c>
      <c r="S147" s="4">
        <f t="shared" si="33"/>
        <v>0.20421416221571548</v>
      </c>
      <c r="T147" s="4">
        <f>(Q139-Q147)/R147</f>
        <v>0.48910050171315123</v>
      </c>
      <c r="AC147" s="4">
        <f t="shared" si="43"/>
        <v>0.80000000000000027</v>
      </c>
      <c r="AD147" s="4">
        <f t="shared" si="44"/>
        <v>0.19999999999999968</v>
      </c>
      <c r="AE147" s="4">
        <f t="shared" si="34"/>
        <v>0.33333333333333287</v>
      </c>
      <c r="AF147" s="4">
        <f t="shared" si="45"/>
        <v>0.24404676504598816</v>
      </c>
      <c r="AG147" s="4">
        <f t="shared" si="35"/>
        <v>8.9286568287344714E-2</v>
      </c>
      <c r="AH147" s="4">
        <f>(AE139-AE147)/AF147</f>
        <v>1.7073230476468317</v>
      </c>
      <c r="AI147" s="4"/>
      <c r="AJ147" s="4"/>
      <c r="AK147" s="4"/>
      <c r="AL147" s="4"/>
      <c r="AM147" s="4"/>
      <c r="AN147" s="4"/>
      <c r="AO147" s="4"/>
      <c r="AP147" s="4"/>
      <c r="AQ147" s="4">
        <f t="shared" si="46"/>
        <v>0.80000000000000027</v>
      </c>
      <c r="AR147" s="4">
        <f t="shared" si="47"/>
        <v>0.19999999999999968</v>
      </c>
      <c r="AS147" s="4">
        <f t="shared" si="36"/>
        <v>0.33333333333333287</v>
      </c>
      <c r="AT147" s="4">
        <f t="shared" si="48"/>
        <v>0.36607014756898226</v>
      </c>
      <c r="AU147" s="4">
        <f t="shared" si="37"/>
        <v>-3.2736814235649392E-2</v>
      </c>
      <c r="AV147" s="4">
        <f>(AS139-AS147)/AT147</f>
        <v>1.1382153650978877</v>
      </c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spans="1:59" x14ac:dyDescent="0.25">
      <c r="A148" s="4">
        <f t="shared" si="38"/>
        <v>0.85000000000000031</v>
      </c>
      <c r="B148" s="4">
        <f t="shared" si="39"/>
        <v>0.14999999999999969</v>
      </c>
      <c r="C148" s="4">
        <f t="shared" si="29"/>
        <v>0.61363636363636309</v>
      </c>
      <c r="D148" s="1">
        <f t="shared" si="30"/>
        <v>0.11031532601522845</v>
      </c>
      <c r="E148" s="1">
        <f t="shared" si="31"/>
        <v>0.50332103762113467</v>
      </c>
      <c r="F148" s="4">
        <f>(C131-C148)/D148</f>
        <v>3.5023568376192937</v>
      </c>
      <c r="H148" s="4"/>
      <c r="I148" s="4"/>
      <c r="J148" s="4"/>
      <c r="K148" s="4"/>
      <c r="L148" s="4"/>
      <c r="M148" s="4"/>
      <c r="N148" s="4"/>
      <c r="O148" s="4">
        <f t="shared" si="40"/>
        <v>0.85000000000000031</v>
      </c>
      <c r="P148" s="4">
        <f t="shared" si="41"/>
        <v>0.14999999999999969</v>
      </c>
      <c r="Q148" s="4">
        <f t="shared" si="32"/>
        <v>0.61363636363636309</v>
      </c>
      <c r="R148" s="1">
        <f t="shared" si="42"/>
        <v>0.47729707730091953</v>
      </c>
      <c r="S148" s="1">
        <f t="shared" si="33"/>
        <v>0.13633928633544357</v>
      </c>
      <c r="T148" s="4">
        <f>(Q131-Q148)/R148</f>
        <v>0.80948251044924757</v>
      </c>
      <c r="AC148" s="4">
        <f t="shared" si="43"/>
        <v>0.85000000000000031</v>
      </c>
      <c r="AD148" s="1">
        <f t="shared" si="44"/>
        <v>0.14999999999999969</v>
      </c>
      <c r="AE148" s="1">
        <f t="shared" si="34"/>
        <v>0.26086956521739085</v>
      </c>
      <c r="AF148" s="1">
        <f t="shared" si="45"/>
        <v>0.23864853865045976</v>
      </c>
      <c r="AG148" s="1">
        <f t="shared" si="35"/>
        <v>2.222102656693109E-2</v>
      </c>
      <c r="AH148" s="1">
        <f>(AE131-AE148)/AF148</f>
        <v>3.0971504747623357</v>
      </c>
      <c r="AQ148" s="4">
        <f t="shared" si="46"/>
        <v>0.85000000000000031</v>
      </c>
      <c r="AR148" s="1">
        <f t="shared" si="47"/>
        <v>0.14999999999999969</v>
      </c>
      <c r="AS148" s="1">
        <f t="shared" si="36"/>
        <v>0.26086956521739085</v>
      </c>
      <c r="AT148" s="1">
        <f t="shared" si="48"/>
        <v>0.35797280797568964</v>
      </c>
      <c r="AU148" s="1">
        <f t="shared" si="37"/>
        <v>-9.7103242758298791E-2</v>
      </c>
      <c r="AV148" s="1">
        <f>(AS131-AS148)/AT148</f>
        <v>2.0647669831748905</v>
      </c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x14ac:dyDescent="0.25">
      <c r="A149" s="4">
        <f t="shared" si="38"/>
        <v>0.90000000000000036</v>
      </c>
      <c r="B149" s="4">
        <f t="shared" si="39"/>
        <v>9.9999999999999686E-2</v>
      </c>
      <c r="C149" s="4">
        <f t="shared" si="29"/>
        <v>0.49999999999999906</v>
      </c>
      <c r="D149" s="1">
        <f t="shared" si="30"/>
        <v>9.8669027172040721E-2</v>
      </c>
      <c r="E149" s="1">
        <f t="shared" si="31"/>
        <v>0.40133097282795832</v>
      </c>
      <c r="F149" s="4">
        <f>(C131-C149)/D149</f>
        <v>5.067446333773959</v>
      </c>
      <c r="H149" s="4"/>
      <c r="I149" s="4"/>
      <c r="J149" s="4"/>
      <c r="K149" s="4"/>
      <c r="L149" s="4"/>
      <c r="M149" s="4"/>
      <c r="N149" s="4"/>
      <c r="O149" s="4">
        <f t="shared" si="40"/>
        <v>0.90000000000000036</v>
      </c>
      <c r="P149" s="1">
        <f t="shared" si="41"/>
        <v>9.9999999999999686E-2</v>
      </c>
      <c r="Q149" s="1">
        <f t="shared" si="32"/>
        <v>0.49999999999999906</v>
      </c>
      <c r="R149" s="1">
        <f t="shared" si="42"/>
        <v>0.46943332546680527</v>
      </c>
      <c r="S149" s="1">
        <f t="shared" si="33"/>
        <v>3.0566674533193783E-2</v>
      </c>
      <c r="T149" s="1">
        <f>(Q131-Q149)/R149</f>
        <v>1.065113985043137</v>
      </c>
      <c r="AC149" s="4">
        <f t="shared" si="43"/>
        <v>0.90000000000000036</v>
      </c>
      <c r="AD149" s="1">
        <f t="shared" si="44"/>
        <v>9.9999999999999686E-2</v>
      </c>
      <c r="AE149" s="1">
        <f t="shared" si="34"/>
        <v>0.1818181818181813</v>
      </c>
      <c r="AF149" s="1">
        <f t="shared" si="45"/>
        <v>0.23471666273340264</v>
      </c>
      <c r="AG149" s="1">
        <f t="shared" si="35"/>
        <v>-5.2898480915221341E-2</v>
      </c>
      <c r="AH149" s="1">
        <f>(AE131-AE149)/AF149</f>
        <v>3.4858275874138989</v>
      </c>
      <c r="AQ149" s="4">
        <f t="shared" si="46"/>
        <v>0.90000000000000036</v>
      </c>
      <c r="AR149" s="1">
        <f t="shared" si="47"/>
        <v>9.9999999999999686E-2</v>
      </c>
      <c r="AS149" s="1">
        <f t="shared" si="36"/>
        <v>0.1818181818181813</v>
      </c>
      <c r="AT149" s="1">
        <f t="shared" si="48"/>
        <v>0.35207499410010396</v>
      </c>
      <c r="AU149" s="1">
        <f t="shared" si="37"/>
        <v>-0.17025681228192266</v>
      </c>
      <c r="AV149" s="1">
        <f>(AS131-AS149)/AT149</f>
        <v>2.3238850582759327</v>
      </c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spans="1:59" x14ac:dyDescent="0.25">
      <c r="A150" s="4">
        <f t="shared" si="38"/>
        <v>0.92999999999999994</v>
      </c>
      <c r="B150" s="4">
        <v>7.0000000000000007E-2</v>
      </c>
      <c r="C150" s="4">
        <f t="shared" si="29"/>
        <v>0.40384615384615391</v>
      </c>
      <c r="D150" s="1">
        <f t="shared" si="30"/>
        <v>9.0968348257046971E-2</v>
      </c>
      <c r="E150" s="1">
        <f t="shared" si="31"/>
        <v>0.31287780558910694</v>
      </c>
      <c r="F150" s="4">
        <f>(C132-C150)/D150</f>
        <v>6.4895087574566634</v>
      </c>
      <c r="H150" s="4"/>
      <c r="I150" s="4"/>
      <c r="J150" s="4"/>
      <c r="K150" s="4"/>
      <c r="L150" s="4"/>
      <c r="M150" s="4"/>
      <c r="N150" s="4"/>
      <c r="O150" s="4">
        <f t="shared" si="40"/>
        <v>0.95000000000000029</v>
      </c>
      <c r="P150" s="1">
        <f t="shared" si="41"/>
        <v>4.9999999999999684E-2</v>
      </c>
      <c r="Q150" s="1">
        <f t="shared" si="32"/>
        <v>0.32142857142857001</v>
      </c>
      <c r="R150" s="1">
        <f t="shared" si="42"/>
        <v>0.46465119745258127</v>
      </c>
      <c r="S150" s="1">
        <f t="shared" si="33"/>
        <v>-0.14322262602401126</v>
      </c>
      <c r="T150" s="1">
        <f>(Q132-Q150)/R150</f>
        <v>1.4478763398682821</v>
      </c>
      <c r="AC150" s="4">
        <f t="shared" si="43"/>
        <v>0.95000000000000029</v>
      </c>
      <c r="AD150" s="1">
        <f t="shared" si="44"/>
        <v>4.9999999999999684E-2</v>
      </c>
      <c r="AE150" s="1">
        <f t="shared" si="34"/>
        <v>9.5238095238094678E-2</v>
      </c>
      <c r="AF150" s="1">
        <f t="shared" si="45"/>
        <v>0.23232559872629061</v>
      </c>
      <c r="AG150" s="1">
        <f t="shared" si="35"/>
        <v>-0.13708750348819593</v>
      </c>
      <c r="AH150" s="1">
        <f>(AE132-AE150)/AF150</f>
        <v>3.7840035017260281</v>
      </c>
      <c r="AQ150" s="4">
        <f t="shared" si="46"/>
        <v>0.95000000000000029</v>
      </c>
      <c r="AR150" s="1">
        <f t="shared" si="47"/>
        <v>4.9999999999999684E-2</v>
      </c>
      <c r="AS150" s="1">
        <f t="shared" si="36"/>
        <v>9.5238095238094678E-2</v>
      </c>
      <c r="AT150" s="1">
        <f t="shared" si="48"/>
        <v>0.34848839808943594</v>
      </c>
      <c r="AU150" s="1">
        <f t="shared" si="37"/>
        <v>-0.25325030285134126</v>
      </c>
      <c r="AV150" s="1">
        <f>(AS132-AS150)/AT150</f>
        <v>2.5226690011506849</v>
      </c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x14ac:dyDescent="0.25">
      <c r="A151" s="4">
        <f t="shared" si="38"/>
        <v>0.999</v>
      </c>
      <c r="B151" s="4">
        <v>1E-3</v>
      </c>
      <c r="C151" s="4">
        <f t="shared" si="29"/>
        <v>8.9285714285714298E-3</v>
      </c>
      <c r="D151" s="1">
        <f t="shared" si="30"/>
        <v>8.8253363958548353E-2</v>
      </c>
      <c r="E151" s="1">
        <f t="shared" si="31"/>
        <v>-7.9324792529976929E-2</v>
      </c>
      <c r="F151" s="4">
        <f>(C133-C151)/D151</f>
        <v>11.091659997005628</v>
      </c>
      <c r="H151" s="4"/>
      <c r="I151" s="4"/>
      <c r="J151" s="4"/>
      <c r="K151" s="4"/>
      <c r="L151" s="4"/>
      <c r="M151" s="4"/>
      <c r="N151" s="4"/>
      <c r="O151" s="4">
        <f t="shared" si="40"/>
        <v>0.999</v>
      </c>
      <c r="P151" s="1">
        <v>1E-3</v>
      </c>
      <c r="Q151" s="1">
        <f t="shared" si="32"/>
        <v>8.9285714285714298E-3</v>
      </c>
      <c r="R151" s="1">
        <f t="shared" si="42"/>
        <v>0.4630468230040215</v>
      </c>
      <c r="S151" s="1">
        <f t="shared" si="33"/>
        <v>-0.45411825157545005</v>
      </c>
      <c r="T151" s="1">
        <f>(Q133-Q151)/R151</f>
        <v>2.1139898990554302</v>
      </c>
      <c r="AC151" s="4">
        <f t="shared" si="43"/>
        <v>0.999</v>
      </c>
      <c r="AD151" s="1">
        <v>1E-3</v>
      </c>
      <c r="AE151" s="1">
        <f t="shared" si="34"/>
        <v>1.9980019980019984E-3</v>
      </c>
      <c r="AF151" s="1">
        <f t="shared" si="45"/>
        <v>0.23152341150201075</v>
      </c>
      <c r="AG151" s="1">
        <f t="shared" si="35"/>
        <v>-0.22952540950400876</v>
      </c>
      <c r="AH151" s="1">
        <f>(AE133-AE151)/AF151</f>
        <v>4.0832605779326085</v>
      </c>
      <c r="AQ151" s="4">
        <f t="shared" si="46"/>
        <v>0.995</v>
      </c>
      <c r="AR151" s="1">
        <v>5.0000000000000001E-3</v>
      </c>
      <c r="AS151" s="1">
        <f t="shared" si="36"/>
        <v>9.950248756218907E-3</v>
      </c>
      <c r="AT151" s="1">
        <f t="shared" si="48"/>
        <v>0.34728511725301614</v>
      </c>
      <c r="AU151" s="1">
        <f t="shared" si="37"/>
        <v>-0.33733486849679722</v>
      </c>
      <c r="AV151" s="1">
        <f>(AS133-AS151)/AT151</f>
        <v>2.6992753957073616</v>
      </c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spans="1:59" x14ac:dyDescent="0.25">
      <c r="H152" s="4"/>
      <c r="I152" s="4"/>
      <c r="J152" s="4"/>
      <c r="K152" s="4"/>
      <c r="L152" s="4"/>
      <c r="M152" s="4"/>
      <c r="N152" s="4"/>
      <c r="O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x14ac:dyDescent="0.25">
      <c r="H153" s="4"/>
      <c r="I153" s="4"/>
      <c r="J153" s="4"/>
      <c r="K153" s="4"/>
      <c r="L153" s="4"/>
      <c r="M153" s="4"/>
      <c r="N153" s="4"/>
      <c r="O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spans="1:59" x14ac:dyDescent="0.25">
      <c r="H154" s="4"/>
      <c r="I154" s="4"/>
      <c r="J154" s="4"/>
      <c r="K154" s="4"/>
      <c r="L154" s="4"/>
      <c r="M154" s="4"/>
      <c r="N154" s="4"/>
      <c r="O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x14ac:dyDescent="0.25">
      <c r="C155" s="1" t="s">
        <v>30</v>
      </c>
      <c r="D155" s="1" t="s">
        <v>31</v>
      </c>
      <c r="E155" s="1" t="s">
        <v>32</v>
      </c>
      <c r="H155" s="4"/>
      <c r="I155" s="4"/>
      <c r="J155" s="4"/>
      <c r="K155" s="4"/>
      <c r="L155" s="4"/>
      <c r="M155" s="4"/>
      <c r="N155" s="4"/>
      <c r="O155" s="4"/>
      <c r="P155" s="1" t="s">
        <v>8</v>
      </c>
      <c r="Q155" s="1" t="s">
        <v>30</v>
      </c>
      <c r="R155" s="1" t="s">
        <v>31</v>
      </c>
      <c r="S155" s="1" t="s">
        <v>32</v>
      </c>
      <c r="AE155" s="1" t="s">
        <v>30</v>
      </c>
      <c r="AF155" s="1" t="s">
        <v>31</v>
      </c>
      <c r="AG155" s="1" t="s">
        <v>32</v>
      </c>
      <c r="AS155" s="1" t="s">
        <v>30</v>
      </c>
      <c r="AT155" s="1" t="s">
        <v>31</v>
      </c>
      <c r="AU155" s="1" t="s">
        <v>32</v>
      </c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spans="1:59" x14ac:dyDescent="0.25">
      <c r="B156" s="1" t="s">
        <v>22</v>
      </c>
      <c r="C156" s="1">
        <v>8</v>
      </c>
      <c r="H156" s="4"/>
      <c r="I156" s="4"/>
      <c r="J156" s="4"/>
      <c r="K156" s="4"/>
      <c r="L156" s="4"/>
      <c r="M156" s="4"/>
      <c r="N156" s="4"/>
      <c r="O156" s="4"/>
      <c r="P156" s="1" t="s">
        <v>22</v>
      </c>
      <c r="Q156" s="1">
        <v>8</v>
      </c>
      <c r="AD156" s="1" t="s">
        <v>22</v>
      </c>
      <c r="AE156" s="1">
        <v>1</v>
      </c>
      <c r="AR156" s="1" t="s">
        <v>22</v>
      </c>
      <c r="AS156" s="1">
        <v>1</v>
      </c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x14ac:dyDescent="0.25">
      <c r="B157" s="1" t="s">
        <v>23</v>
      </c>
      <c r="C157" s="1">
        <v>1</v>
      </c>
      <c r="H157" s="4"/>
      <c r="I157" s="4"/>
      <c r="J157" s="4"/>
      <c r="K157" s="4"/>
      <c r="L157" s="4"/>
      <c r="M157" s="4"/>
      <c r="N157" s="4"/>
      <c r="O157" s="4"/>
      <c r="P157" s="1" t="s">
        <v>23</v>
      </c>
      <c r="Q157" s="1">
        <v>1</v>
      </c>
      <c r="AC157" s="4"/>
      <c r="AD157" s="1" t="s">
        <v>23</v>
      </c>
      <c r="AE157" s="1">
        <v>1</v>
      </c>
      <c r="AR157" s="1" t="s">
        <v>23</v>
      </c>
      <c r="AS157" s="1">
        <v>1</v>
      </c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spans="1:59" x14ac:dyDescent="0.25">
      <c r="B158" s="1" t="s">
        <v>34</v>
      </c>
      <c r="C158" s="1">
        <v>9</v>
      </c>
      <c r="G158" s="4"/>
      <c r="H158" s="4"/>
      <c r="I158" s="4"/>
      <c r="J158" s="4"/>
      <c r="K158" s="4"/>
      <c r="L158" s="4"/>
      <c r="M158" s="4"/>
      <c r="N158" s="4"/>
      <c r="O158" s="4"/>
      <c r="P158" s="1" t="s">
        <v>34</v>
      </c>
      <c r="Q158" s="1">
        <v>9</v>
      </c>
      <c r="AC158" s="4"/>
      <c r="AD158" s="1" t="s">
        <v>34</v>
      </c>
      <c r="AE158" s="1">
        <v>2</v>
      </c>
      <c r="AR158" s="1" t="s">
        <v>34</v>
      </c>
      <c r="AS158" s="1">
        <v>2</v>
      </c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x14ac:dyDescent="0.25">
      <c r="B159" s="1" t="s">
        <v>14</v>
      </c>
      <c r="D159" s="1">
        <v>2</v>
      </c>
      <c r="F159" s="1" t="s">
        <v>4</v>
      </c>
      <c r="G159" s="4"/>
      <c r="H159" s="4"/>
      <c r="I159" s="4"/>
      <c r="J159" s="4"/>
      <c r="K159" s="4"/>
      <c r="L159" s="4"/>
      <c r="M159" s="4"/>
      <c r="N159" s="4"/>
      <c r="O159" s="4"/>
      <c r="P159" s="1" t="s">
        <v>14</v>
      </c>
      <c r="R159" s="1">
        <v>1</v>
      </c>
      <c r="T159" s="1" t="s">
        <v>4</v>
      </c>
      <c r="AC159" s="4"/>
      <c r="AD159" s="1" t="s">
        <v>14</v>
      </c>
      <c r="AF159" s="1">
        <v>2</v>
      </c>
      <c r="AH159" s="1" t="s">
        <v>4</v>
      </c>
      <c r="AR159" s="1" t="s">
        <v>14</v>
      </c>
      <c r="AT159" s="1">
        <v>2</v>
      </c>
      <c r="AV159" s="1" t="s">
        <v>4</v>
      </c>
      <c r="AY159" s="4"/>
      <c r="AZ159" s="4"/>
      <c r="BA159" s="4"/>
      <c r="BB159" s="4"/>
      <c r="BC159" s="4"/>
      <c r="BD159" s="4"/>
      <c r="BE159" s="4"/>
      <c r="BF159" s="4"/>
      <c r="BG159" s="4"/>
    </row>
    <row r="160" spans="1:59" x14ac:dyDescent="0.25">
      <c r="B160" s="1" t="s">
        <v>35</v>
      </c>
      <c r="D160" s="1">
        <v>1</v>
      </c>
      <c r="F160" s="1">
        <v>0.8</v>
      </c>
      <c r="G160" s="4"/>
      <c r="H160" s="4"/>
      <c r="I160" s="4"/>
      <c r="J160" s="4"/>
      <c r="K160" s="4"/>
      <c r="L160" s="4"/>
      <c r="M160" s="4"/>
      <c r="N160" s="4"/>
      <c r="O160" s="4"/>
      <c r="P160" s="1" t="s">
        <v>35</v>
      </c>
      <c r="R160" s="1">
        <v>1</v>
      </c>
      <c r="T160" s="1">
        <v>0.9</v>
      </c>
      <c r="Y160" s="8"/>
      <c r="Z160" s="8"/>
      <c r="AC160" s="4"/>
      <c r="AD160" s="1" t="s">
        <v>35</v>
      </c>
      <c r="AF160" s="1">
        <v>0.9</v>
      </c>
      <c r="AH160" s="1">
        <v>0.9</v>
      </c>
      <c r="AR160" s="1" t="s">
        <v>35</v>
      </c>
      <c r="AT160" s="1">
        <v>1</v>
      </c>
      <c r="AV160" s="1">
        <v>0.8</v>
      </c>
      <c r="AY160" s="4"/>
      <c r="AZ160" s="8"/>
      <c r="BA160" s="8"/>
      <c r="BB160" s="4"/>
      <c r="BC160" s="4"/>
      <c r="BD160" s="4"/>
      <c r="BE160" s="4"/>
      <c r="BF160" s="4"/>
      <c r="BG160" s="4"/>
    </row>
    <row r="161" spans="2:59" x14ac:dyDescent="0.25">
      <c r="B161" s="1" t="s">
        <v>36</v>
      </c>
      <c r="D161" s="1">
        <v>-1.43606797749979</v>
      </c>
      <c r="F161" s="1">
        <f>(D164-F160)^2</f>
        <v>4.9303806576313238E-32</v>
      </c>
      <c r="G161" s="4"/>
      <c r="H161" s="4"/>
      <c r="I161" s="4"/>
      <c r="J161" s="4"/>
      <c r="K161" s="4"/>
      <c r="L161" s="4"/>
      <c r="M161" s="4"/>
      <c r="N161" s="4"/>
      <c r="O161" s="4"/>
      <c r="P161" s="1" t="s">
        <v>36</v>
      </c>
      <c r="R161" s="1">
        <v>0.70710678118654735</v>
      </c>
      <c r="T161" s="1">
        <f>(R164-T160)^2</f>
        <v>9.9999999999999516E-3</v>
      </c>
      <c r="AC161" s="4"/>
      <c r="AD161" s="1" t="s">
        <v>36</v>
      </c>
      <c r="AF161" s="1">
        <v>-1.43606797749979</v>
      </c>
      <c r="AH161" s="1">
        <f>(AF164-AH160)^2</f>
        <v>0.10472135954999576</v>
      </c>
      <c r="AR161" s="1" t="s">
        <v>36</v>
      </c>
      <c r="AT161" s="1">
        <v>-1.43606797749979</v>
      </c>
      <c r="AV161" s="1">
        <f>(AT164-AV160)^2</f>
        <v>4.9303806576313238E-32</v>
      </c>
      <c r="AY161" s="4"/>
      <c r="AZ161" s="4"/>
      <c r="BA161" s="4"/>
      <c r="BB161" s="4"/>
      <c r="BC161" s="4"/>
      <c r="BD161" s="4"/>
      <c r="BE161" s="4"/>
      <c r="BF161" s="4"/>
      <c r="BG161" s="4"/>
    </row>
    <row r="162" spans="2:59" x14ac:dyDescent="0.25">
      <c r="G162" s="4"/>
      <c r="H162" s="4"/>
      <c r="I162" s="4"/>
      <c r="J162" s="4"/>
      <c r="K162" s="4"/>
      <c r="L162" s="4"/>
      <c r="M162" s="4"/>
      <c r="N162" s="4"/>
      <c r="O162" s="4"/>
      <c r="R162" s="1">
        <v>1</v>
      </c>
      <c r="AC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2:59" x14ac:dyDescent="0.25">
      <c r="B163" s="1" t="s">
        <v>39</v>
      </c>
      <c r="C163" s="1" t="s">
        <v>40</v>
      </c>
      <c r="D163" s="1" t="s">
        <v>41</v>
      </c>
      <c r="E163" s="1" t="s">
        <v>42</v>
      </c>
      <c r="F163" s="1" t="s">
        <v>43</v>
      </c>
      <c r="G163" s="4" t="s">
        <v>44</v>
      </c>
      <c r="H163" s="4"/>
      <c r="I163" s="4"/>
      <c r="J163" s="4"/>
      <c r="K163" s="4"/>
      <c r="L163" s="4"/>
      <c r="M163" s="4"/>
      <c r="N163" s="4"/>
      <c r="O163" s="4" t="s">
        <v>59</v>
      </c>
      <c r="P163" s="1" t="s">
        <v>39</v>
      </c>
      <c r="Q163" s="1" t="s">
        <v>40</v>
      </c>
      <c r="R163" s="1" t="s">
        <v>41</v>
      </c>
      <c r="S163" s="1" t="s">
        <v>42</v>
      </c>
      <c r="T163" s="1" t="s">
        <v>43</v>
      </c>
      <c r="U163" s="1" t="s">
        <v>44</v>
      </c>
      <c r="AC163" s="4"/>
      <c r="AD163" s="1" t="s">
        <v>39</v>
      </c>
      <c r="AE163" s="1" t="s">
        <v>40</v>
      </c>
      <c r="AF163" s="1" t="s">
        <v>41</v>
      </c>
      <c r="AG163" s="1" t="s">
        <v>42</v>
      </c>
      <c r="AH163" s="1" t="s">
        <v>43</v>
      </c>
      <c r="AI163" s="1" t="s">
        <v>44</v>
      </c>
      <c r="AJ163" s="1">
        <f>AE164-AE170</f>
        <v>0.17647058823529427</v>
      </c>
      <c r="AR163" s="1" t="s">
        <v>39</v>
      </c>
      <c r="AS163" s="1" t="s">
        <v>40</v>
      </c>
      <c r="AT163" s="1" t="s">
        <v>41</v>
      </c>
      <c r="AU163" s="1" t="s">
        <v>42</v>
      </c>
      <c r="AV163" s="1" t="s">
        <v>43</v>
      </c>
      <c r="AW163" s="1" t="s">
        <v>44</v>
      </c>
      <c r="AX163" s="1">
        <f>AS164-AS173</f>
        <v>0.29032258064516159</v>
      </c>
      <c r="AY163" s="4"/>
      <c r="AZ163" s="4"/>
      <c r="BA163" s="4"/>
      <c r="BB163" s="4"/>
      <c r="BC163" s="4"/>
      <c r="BD163" s="4"/>
      <c r="BE163" s="4"/>
      <c r="BF163" s="4"/>
      <c r="BG163" s="4"/>
    </row>
    <row r="164" spans="2:59" s="4" customFormat="1" x14ac:dyDescent="0.25">
      <c r="B164" s="4">
        <v>1</v>
      </c>
      <c r="C164" s="4">
        <f t="shared" ref="C164:C184" si="49">C$158*$B164*C$157/(1+$B164*C$156*C$157)</f>
        <v>1</v>
      </c>
      <c r="D164" s="4">
        <f t="shared" ref="D164:D184" si="50">D$161+D$160*SQRT(D$159^2+$B164^2)</f>
        <v>0.79999999999999982</v>
      </c>
      <c r="E164" s="1">
        <f t="shared" ref="E164:E184" si="51">C164-D164</f>
        <v>0.20000000000000018</v>
      </c>
      <c r="F164" s="4">
        <f>(C164-C164)/D164</f>
        <v>0</v>
      </c>
      <c r="G164" s="4" t="s">
        <v>45</v>
      </c>
      <c r="O164" s="4">
        <f>T160</f>
        <v>0.9</v>
      </c>
      <c r="P164" s="4">
        <v>1</v>
      </c>
      <c r="Q164" s="4">
        <f t="shared" ref="Q164:Q184" si="52">Q$158*$P164*Q$157/(1+$P164*Q$156*Q$157)</f>
        <v>1</v>
      </c>
      <c r="R164" s="4">
        <f>R$162*(R$161*(R$160*SQRT(R$159^2+$P164^2)))</f>
        <v>0.99999999999999978</v>
      </c>
      <c r="S164" s="1">
        <f t="shared" ref="S164:S184" si="53">Q164-R164</f>
        <v>0</v>
      </c>
      <c r="T164" s="4">
        <f>(Q164-Q164)/R164</f>
        <v>0</v>
      </c>
      <c r="U164" s="4" t="s">
        <v>45</v>
      </c>
      <c r="AD164" s="4">
        <v>1</v>
      </c>
      <c r="AE164" s="4">
        <f t="shared" ref="AE164:AE184" si="54">AE$158*$AD164*AE$157/(1+$AD164*AE$156*AE$157)</f>
        <v>1</v>
      </c>
      <c r="AF164" s="4">
        <f t="shared" ref="AF164:AF184" si="55">AF$161+AF$160*SQRT(AF$159^2+$AD164^2)</f>
        <v>0.57639320225002111</v>
      </c>
      <c r="AG164" s="1">
        <f t="shared" ref="AG164:AG179" si="56">AE164-AF164</f>
        <v>0.42360679774997889</v>
      </c>
      <c r="AH164" s="4">
        <f>(AE164-AE164)/AF164</f>
        <v>0</v>
      </c>
      <c r="AI164" s="4" t="s">
        <v>45</v>
      </c>
      <c r="AJ164" s="4">
        <f>AF170</f>
        <v>0.4709978315377481</v>
      </c>
      <c r="AR164" s="4">
        <v>1</v>
      </c>
      <c r="AS164" s="4">
        <f t="shared" ref="AS164:AS184" si="57">AS$158*$AR164*AS$157/(1+$AR164*AS$156*AS$157)</f>
        <v>1</v>
      </c>
      <c r="AT164" s="4">
        <f t="shared" ref="AT164:AT184" si="58">AT$161+AT$160*SQRT(AT$159^2+$AR164^2)</f>
        <v>0.79999999999999982</v>
      </c>
      <c r="AU164" s="1">
        <f t="shared" ref="AU164:AU181" si="59">AS164-AT164</f>
        <v>0.20000000000000018</v>
      </c>
      <c r="AV164" s="4">
        <f>(AS164-AS164)/AT164</f>
        <v>0</v>
      </c>
      <c r="AW164" s="4" t="s">
        <v>45</v>
      </c>
      <c r="AX164" s="4">
        <f>AT173</f>
        <v>0.63817887376936389</v>
      </c>
    </row>
    <row r="165" spans="2:59" s="4" customFormat="1" x14ac:dyDescent="0.25">
      <c r="B165" s="4">
        <f t="shared" ref="B165:B183" si="60">B164-0.05</f>
        <v>0.95</v>
      </c>
      <c r="C165" s="4">
        <f t="shared" si="49"/>
        <v>0.99418604651162779</v>
      </c>
      <c r="D165" s="4">
        <f t="shared" si="50"/>
        <v>0.77809100504866269</v>
      </c>
      <c r="E165" s="1">
        <f t="shared" si="51"/>
        <v>0.2160950414629651</v>
      </c>
      <c r="F165" s="4">
        <f>(C164-C165)/D165</f>
        <v>7.4720738970740358E-3</v>
      </c>
      <c r="G165" s="4" t="s">
        <v>43</v>
      </c>
      <c r="O165" s="4">
        <f>T160</f>
        <v>0.9</v>
      </c>
      <c r="P165" s="4">
        <f>P164-0.05</f>
        <v>0.95</v>
      </c>
      <c r="Q165" s="4">
        <f>Q$158*$P165*Q$157/(1+$P165*Q$156*Q$157)</f>
        <v>0.99418604651162779</v>
      </c>
      <c r="R165" s="4">
        <f t="shared" ref="R165:R184" si="61">R$162*(R$161*(R$160*SQRT(R$159^2+$P165^2)))</f>
        <v>0.9753204601565576</v>
      </c>
      <c r="S165" s="1">
        <f t="shared" si="53"/>
        <v>1.8865586355070185E-2</v>
      </c>
      <c r="T165" s="4">
        <f>(Q164-Q165)/R165</f>
        <v>5.9610699517561273E-3</v>
      </c>
      <c r="U165" s="4" t="s">
        <v>43</v>
      </c>
      <c r="AD165" s="4">
        <f t="shared" ref="AD165:AD183" si="62">AD164-0.05</f>
        <v>0.95</v>
      </c>
      <c r="AE165" s="4">
        <f t="shared" si="54"/>
        <v>0.97435897435897434</v>
      </c>
      <c r="AF165" s="4">
        <f t="shared" si="55"/>
        <v>0.55667510679381738</v>
      </c>
      <c r="AG165" s="1">
        <f t="shared" si="56"/>
        <v>0.41768386756515696</v>
      </c>
      <c r="AH165" s="4">
        <f>(AE164-AE165)/AF165</f>
        <v>4.6061024335551336E-2</v>
      </c>
      <c r="AI165" s="4" t="s">
        <v>43</v>
      </c>
      <c r="AJ165" s="4">
        <f>AJ163/AJ164</f>
        <v>0.37467388683964892</v>
      </c>
      <c r="AR165" s="4">
        <f t="shared" ref="AR165:AR183" si="63">AR164-0.05</f>
        <v>0.95</v>
      </c>
      <c r="AS165" s="4">
        <f t="shared" si="57"/>
        <v>0.97435897435897434</v>
      </c>
      <c r="AT165" s="4">
        <f t="shared" si="58"/>
        <v>0.77809100504866269</v>
      </c>
      <c r="AU165" s="1">
        <f t="shared" si="59"/>
        <v>0.19626796931031165</v>
      </c>
      <c r="AV165" s="4">
        <f>(AS164-AS165)/AT165</f>
        <v>3.2953761802479699E-2</v>
      </c>
      <c r="AW165" s="4" t="s">
        <v>43</v>
      </c>
      <c r="AX165" s="4">
        <f>AX163/AX164</f>
        <v>0.45492352156753374</v>
      </c>
    </row>
    <row r="166" spans="2:59" s="4" customFormat="1" x14ac:dyDescent="0.25">
      <c r="B166" s="4">
        <f t="shared" si="60"/>
        <v>0.89999999999999991</v>
      </c>
      <c r="C166" s="4">
        <f t="shared" si="49"/>
        <v>0.98780487804878048</v>
      </c>
      <c r="D166" s="4">
        <f t="shared" si="50"/>
        <v>0.75710324244634064</v>
      </c>
      <c r="E166" s="1">
        <f t="shared" si="51"/>
        <v>0.23070163560243984</v>
      </c>
      <c r="F166" s="4">
        <f>(C164-C166)/D166</f>
        <v>1.6107607612159774E-2</v>
      </c>
      <c r="G166" s="4" t="s">
        <v>46</v>
      </c>
      <c r="O166" s="4">
        <f>O165</f>
        <v>0.9</v>
      </c>
      <c r="P166" s="4">
        <f t="shared" ref="P166:P183" si="64">P165-0.05</f>
        <v>0.89999999999999991</v>
      </c>
      <c r="Q166" s="4">
        <f t="shared" si="52"/>
        <v>0.98780487804878048</v>
      </c>
      <c r="R166" s="4">
        <f t="shared" si="61"/>
        <v>0.95131487952202209</v>
      </c>
      <c r="S166" s="1">
        <f t="shared" si="53"/>
        <v>3.6489998526758383E-2</v>
      </c>
      <c r="T166" s="4">
        <f>(Q164-Q166)/R166</f>
        <v>1.2819227590917984E-2</v>
      </c>
      <c r="U166" s="4" t="s">
        <v>46</v>
      </c>
      <c r="AD166" s="4">
        <f t="shared" si="62"/>
        <v>0.89999999999999991</v>
      </c>
      <c r="AE166" s="4">
        <f t="shared" si="54"/>
        <v>0.94736842105263153</v>
      </c>
      <c r="AF166" s="4">
        <f t="shared" si="55"/>
        <v>0.53778612045172758</v>
      </c>
      <c r="AG166" s="1">
        <f t="shared" si="56"/>
        <v>0.40958230060090395</v>
      </c>
      <c r="AH166" s="4">
        <f>(AE164-AE166)/AF166</f>
        <v>9.7867120302694302E-2</v>
      </c>
      <c r="AI166" s="4" t="s">
        <v>46</v>
      </c>
      <c r="AJ166" s="4">
        <f>AG170</f>
        <v>0.35253158022695763</v>
      </c>
      <c r="AR166" s="4">
        <f t="shared" si="63"/>
        <v>0.89999999999999991</v>
      </c>
      <c r="AS166" s="4">
        <f t="shared" si="57"/>
        <v>0.94736842105263153</v>
      </c>
      <c r="AT166" s="4">
        <f t="shared" si="58"/>
        <v>0.75710324244634064</v>
      </c>
      <c r="AU166" s="1">
        <f t="shared" si="59"/>
        <v>0.19026517860629089</v>
      </c>
      <c r="AV166" s="4">
        <f>(AS164-AS166)/AT166</f>
        <v>6.9517043378794816E-2</v>
      </c>
      <c r="AW166" s="4" t="s">
        <v>46</v>
      </c>
      <c r="AX166" s="4">
        <f>AU173</f>
        <v>7.1498545585474527E-2</v>
      </c>
    </row>
    <row r="167" spans="2:59" s="4" customFormat="1" x14ac:dyDescent="0.25">
      <c r="B167" s="4">
        <f t="shared" si="60"/>
        <v>0.84999999999999987</v>
      </c>
      <c r="C167" s="4">
        <f t="shared" si="49"/>
        <v>0.98076923076923073</v>
      </c>
      <c r="D167" s="4">
        <f t="shared" si="50"/>
        <v>0.737063403710283</v>
      </c>
      <c r="E167" s="1">
        <f t="shared" si="51"/>
        <v>0.24370582705894772</v>
      </c>
      <c r="F167" s="4">
        <f>(C164-C167)/D167</f>
        <v>2.609106507522153E-2</v>
      </c>
      <c r="G167" s="4" t="s">
        <v>47</v>
      </c>
      <c r="O167" s="4">
        <f t="shared" ref="O167:O184" si="65">O166</f>
        <v>0.9</v>
      </c>
      <c r="P167" s="4">
        <f t="shared" si="64"/>
        <v>0.84999999999999987</v>
      </c>
      <c r="Q167" s="4">
        <f t="shared" si="52"/>
        <v>0.98076923076923073</v>
      </c>
      <c r="R167" s="4">
        <f t="shared" si="61"/>
        <v>0.92803555966352902</v>
      </c>
      <c r="S167" s="1">
        <f t="shared" si="53"/>
        <v>5.2733671105701707E-2</v>
      </c>
      <c r="T167" s="4">
        <f>(Q164-Q167)/R167</f>
        <v>2.0722017632321794E-2</v>
      </c>
      <c r="U167" s="4" t="s">
        <v>47</v>
      </c>
      <c r="AD167" s="4">
        <f t="shared" si="62"/>
        <v>0.84999999999999987</v>
      </c>
      <c r="AE167" s="4">
        <f t="shared" si="54"/>
        <v>0.91891891891891886</v>
      </c>
      <c r="AF167" s="4">
        <f t="shared" si="55"/>
        <v>0.51975026558927584</v>
      </c>
      <c r="AG167" s="1">
        <f t="shared" si="56"/>
        <v>0.39916865332964302</v>
      </c>
      <c r="AH167" s="4">
        <f>(AE164-AE167)/AF167</f>
        <v>0.15600007628500981</v>
      </c>
      <c r="AI167" s="4" t="s">
        <v>47</v>
      </c>
      <c r="AJ167" s="4">
        <f>AG170/AE164</f>
        <v>0.35253158022695763</v>
      </c>
      <c r="AR167" s="4">
        <f t="shared" si="63"/>
        <v>0.84999999999999987</v>
      </c>
      <c r="AS167" s="4">
        <f t="shared" si="57"/>
        <v>0.91891891891891886</v>
      </c>
      <c r="AT167" s="4">
        <f t="shared" si="58"/>
        <v>0.737063403710283</v>
      </c>
      <c r="AU167" s="1">
        <f t="shared" si="59"/>
        <v>0.18185551520863585</v>
      </c>
      <c r="AV167" s="4">
        <f>(AS164-AS167)/AT167</f>
        <v>0.11000557166850143</v>
      </c>
      <c r="AW167" s="4" t="s">
        <v>47</v>
      </c>
      <c r="AX167" s="4">
        <f>AU173/AS164</f>
        <v>7.1498545585474527E-2</v>
      </c>
    </row>
    <row r="168" spans="2:59" s="4" customFormat="1" x14ac:dyDescent="0.25">
      <c r="B168" s="4">
        <f t="shared" si="60"/>
        <v>0.79999999999999982</v>
      </c>
      <c r="C168" s="4">
        <f t="shared" si="49"/>
        <v>0.97297297297297292</v>
      </c>
      <c r="D168" s="4">
        <f t="shared" si="50"/>
        <v>0.71799794535401151</v>
      </c>
      <c r="E168" s="1">
        <f t="shared" si="51"/>
        <v>0.2549750276189614</v>
      </c>
      <c r="F168" s="4">
        <f>(C164-C168)/D168</f>
        <v>3.7642206641275704E-2</v>
      </c>
      <c r="G168" s="4" t="s">
        <v>48</v>
      </c>
      <c r="O168" s="4">
        <f t="shared" si="65"/>
        <v>0.9</v>
      </c>
      <c r="P168" s="4">
        <f t="shared" si="64"/>
        <v>0.79999999999999982</v>
      </c>
      <c r="Q168" s="4">
        <f t="shared" si="52"/>
        <v>0.97297297297297292</v>
      </c>
      <c r="R168" s="4">
        <f t="shared" si="61"/>
        <v>0.90553851381374129</v>
      </c>
      <c r="S168" s="1">
        <f t="shared" si="53"/>
        <v>6.743445915923163E-2</v>
      </c>
      <c r="T168" s="4">
        <f>(Q164-Q168)/R168</f>
        <v>2.9846358398607248E-2</v>
      </c>
      <c r="U168" s="4" t="s">
        <v>48</v>
      </c>
      <c r="AD168" s="4">
        <f t="shared" si="62"/>
        <v>0.79999999999999982</v>
      </c>
      <c r="AE168" s="4">
        <f t="shared" si="54"/>
        <v>0.88888888888888873</v>
      </c>
      <c r="AF168" s="4">
        <f t="shared" si="55"/>
        <v>0.50259135306863145</v>
      </c>
      <c r="AG168" s="1">
        <f t="shared" si="56"/>
        <v>0.38629753582025728</v>
      </c>
      <c r="AH168" s="4">
        <f>(AE164-AE168)/AF168</f>
        <v>0.22107644795858331</v>
      </c>
      <c r="AI168" s="4" t="s">
        <v>48</v>
      </c>
      <c r="AJ168" s="4">
        <f>AF170/AF164</f>
        <v>0.81714674930091236</v>
      </c>
      <c r="AR168" s="4">
        <f t="shared" si="63"/>
        <v>0.79999999999999982</v>
      </c>
      <c r="AS168" s="4">
        <f t="shared" si="57"/>
        <v>0.88888888888888873</v>
      </c>
      <c r="AT168" s="4">
        <f t="shared" si="58"/>
        <v>0.71799794535401151</v>
      </c>
      <c r="AU168" s="1">
        <f t="shared" si="59"/>
        <v>0.17089094353487722</v>
      </c>
      <c r="AV168" s="4">
        <f>(AS164-AS168)/AT168</f>
        <v>0.15475129396968892</v>
      </c>
      <c r="AW168" s="4" t="s">
        <v>48</v>
      </c>
      <c r="AX168" s="4">
        <f>AT173/AT164</f>
        <v>0.79772359221170508</v>
      </c>
    </row>
    <row r="169" spans="2:59" s="4" customFormat="1" x14ac:dyDescent="0.25">
      <c r="B169" s="4">
        <f t="shared" si="60"/>
        <v>0.74999999999999978</v>
      </c>
      <c r="C169" s="4">
        <f t="shared" si="49"/>
        <v>0.9642857142857143</v>
      </c>
      <c r="D169" s="4">
        <f t="shared" si="50"/>
        <v>0.69993295882959261</v>
      </c>
      <c r="E169" s="1">
        <f t="shared" si="51"/>
        <v>0.26435275545612169</v>
      </c>
      <c r="F169" s="4">
        <f>(C164-C169)/D169</f>
        <v>5.102529501397688E-2</v>
      </c>
      <c r="O169" s="4">
        <f t="shared" si="65"/>
        <v>0.9</v>
      </c>
      <c r="P169" s="4">
        <f t="shared" si="64"/>
        <v>0.74999999999999978</v>
      </c>
      <c r="Q169" s="4">
        <f t="shared" si="52"/>
        <v>0.9642857142857143</v>
      </c>
      <c r="R169" s="4">
        <f t="shared" si="61"/>
        <v>0.88388347648318399</v>
      </c>
      <c r="S169" s="1">
        <f t="shared" si="53"/>
        <v>8.0402237802530307E-2</v>
      </c>
      <c r="T169" s="4">
        <f>(Q164-Q169)/R169</f>
        <v>4.0406101782088429E-2</v>
      </c>
      <c r="AD169" s="4">
        <f t="shared" si="62"/>
        <v>0.74999999999999978</v>
      </c>
      <c r="AE169" s="4">
        <f t="shared" si="54"/>
        <v>0.85714285714285698</v>
      </c>
      <c r="AF169" s="4">
        <f t="shared" si="55"/>
        <v>0.48633286519665431</v>
      </c>
      <c r="AG169" s="1">
        <f t="shared" si="56"/>
        <v>0.37080999194620268</v>
      </c>
      <c r="AH169" s="4">
        <f>(AE164-AE169)/AF169</f>
        <v>0.29374355113627182</v>
      </c>
      <c r="AR169" s="4">
        <f t="shared" si="63"/>
        <v>0.74999999999999978</v>
      </c>
      <c r="AS169" s="4">
        <f t="shared" si="57"/>
        <v>0.85714285714285698</v>
      </c>
      <c r="AT169" s="4">
        <f t="shared" si="58"/>
        <v>0.69993295882959261</v>
      </c>
      <c r="AU169" s="1">
        <f t="shared" si="59"/>
        <v>0.15720989831326437</v>
      </c>
      <c r="AV169" s="4">
        <f>(AS164-AS169)/AT169</f>
        <v>0.20410118005590785</v>
      </c>
    </row>
    <row r="170" spans="2:59" s="4" customFormat="1" x14ac:dyDescent="0.25">
      <c r="B170" s="4">
        <f t="shared" si="60"/>
        <v>0.69999999999999973</v>
      </c>
      <c r="C170" s="4">
        <f t="shared" si="49"/>
        <v>0.95454545454545447</v>
      </c>
      <c r="D170" s="4">
        <f t="shared" si="50"/>
        <v>0.68289403254191905</v>
      </c>
      <c r="E170" s="1">
        <f t="shared" si="51"/>
        <v>0.27165142200353543</v>
      </c>
      <c r="F170" s="4">
        <f>(C164-C170)/D170</f>
        <v>6.6561638099766701E-2</v>
      </c>
      <c r="O170" s="4">
        <f t="shared" si="65"/>
        <v>0.9</v>
      </c>
      <c r="P170" s="4">
        <f t="shared" si="64"/>
        <v>0.69999999999999973</v>
      </c>
      <c r="Q170" s="4">
        <f t="shared" si="52"/>
        <v>0.95454545454545447</v>
      </c>
      <c r="R170" s="4">
        <f t="shared" si="61"/>
        <v>0.86313382508160308</v>
      </c>
      <c r="S170" s="1">
        <f t="shared" si="53"/>
        <v>9.1411629463851396E-2</v>
      </c>
      <c r="T170" s="4">
        <f>(Q164-Q170)/R170</f>
        <v>5.2662222396681217E-2</v>
      </c>
      <c r="AD170" s="4">
        <f t="shared" si="62"/>
        <v>0.69999999999999973</v>
      </c>
      <c r="AE170" s="4">
        <f t="shared" si="54"/>
        <v>0.82352941176470573</v>
      </c>
      <c r="AF170" s="4">
        <f t="shared" si="55"/>
        <v>0.4709978315377481</v>
      </c>
      <c r="AG170" s="1">
        <f t="shared" si="56"/>
        <v>0.35253158022695763</v>
      </c>
      <c r="AH170" s="4">
        <f>(AE164-AE170)/AF170</f>
        <v>0.37467388683964892</v>
      </c>
      <c r="AR170" s="4">
        <f t="shared" si="63"/>
        <v>0.69999999999999973</v>
      </c>
      <c r="AS170" s="4">
        <f t="shared" si="57"/>
        <v>0.82352941176470573</v>
      </c>
      <c r="AT170" s="4">
        <f t="shared" si="58"/>
        <v>0.68289403254191905</v>
      </c>
      <c r="AU170" s="1">
        <f t="shared" si="59"/>
        <v>0.14063537922278668</v>
      </c>
      <c r="AV170" s="4">
        <f>(AS164-AS170)/AT170</f>
        <v>0.25841577144615291</v>
      </c>
    </row>
    <row r="171" spans="2:59" s="4" customFormat="1" x14ac:dyDescent="0.25">
      <c r="B171" s="4">
        <f t="shared" si="60"/>
        <v>0.64999999999999969</v>
      </c>
      <c r="C171" s="4">
        <f t="shared" si="49"/>
        <v>0.94354838709677413</v>
      </c>
      <c r="D171" s="4">
        <f t="shared" si="50"/>
        <v>0.66690610698151875</v>
      </c>
      <c r="E171" s="4">
        <f t="shared" si="51"/>
        <v>0.27664228011525538</v>
      </c>
      <c r="F171" s="4">
        <f>(C164-C171)/D171</f>
        <v>8.4647017492059412E-2</v>
      </c>
      <c r="O171" s="4">
        <f t="shared" si="65"/>
        <v>0.9</v>
      </c>
      <c r="P171" s="4">
        <f t="shared" si="64"/>
        <v>0.64999999999999969</v>
      </c>
      <c r="Q171" s="4">
        <f t="shared" si="52"/>
        <v>0.94354838709677413</v>
      </c>
      <c r="R171" s="4">
        <f t="shared" si="61"/>
        <v>0.84335638967164972</v>
      </c>
      <c r="S171" s="4">
        <f t="shared" si="53"/>
        <v>0.10019199742512441</v>
      </c>
      <c r="T171" s="4">
        <f>(Q164-Q171)/R171</f>
        <v>6.6936841404859213E-2</v>
      </c>
      <c r="AD171" s="4">
        <f t="shared" si="62"/>
        <v>0.64999999999999969</v>
      </c>
      <c r="AE171" s="4">
        <f t="shared" si="54"/>
        <v>0.78787878787878762</v>
      </c>
      <c r="AF171" s="4">
        <f t="shared" si="55"/>
        <v>0.45660869853338792</v>
      </c>
      <c r="AG171" s="4">
        <f t="shared" si="56"/>
        <v>0.3312700893453997</v>
      </c>
      <c r="AH171" s="4">
        <f>(AE164-AE171)/AF171</f>
        <v>0.46455797448129815</v>
      </c>
      <c r="AR171" s="4">
        <f t="shared" si="63"/>
        <v>0.64999999999999969</v>
      </c>
      <c r="AS171" s="4">
        <f t="shared" si="57"/>
        <v>0.78787878787878762</v>
      </c>
      <c r="AT171" s="4">
        <f t="shared" si="58"/>
        <v>0.66690610698151875</v>
      </c>
      <c r="AU171" s="4">
        <f t="shared" si="59"/>
        <v>0.12097268089726887</v>
      </c>
      <c r="AV171" s="4">
        <f>(AS164-AS171)/AT171</f>
        <v>0.31806758087925363</v>
      </c>
    </row>
    <row r="172" spans="2:59" s="4" customFormat="1" x14ac:dyDescent="0.25">
      <c r="B172" s="4">
        <f t="shared" si="60"/>
        <v>0.59999999999999964</v>
      </c>
      <c r="C172" s="4">
        <f t="shared" si="49"/>
        <v>0.93103448275862055</v>
      </c>
      <c r="D172" s="4">
        <f t="shared" si="50"/>
        <v>0.65199332428231971</v>
      </c>
      <c r="E172" s="4">
        <f t="shared" si="51"/>
        <v>0.27904115847630084</v>
      </c>
      <c r="F172" s="4">
        <f>(C164-C172)/D172</f>
        <v>0.10577641621912785</v>
      </c>
      <c r="O172" s="4">
        <f t="shared" si="65"/>
        <v>0.9</v>
      </c>
      <c r="P172" s="4">
        <f t="shared" si="64"/>
        <v>0.59999999999999964</v>
      </c>
      <c r="Q172" s="4">
        <f t="shared" si="52"/>
        <v>0.93103448275862055</v>
      </c>
      <c r="R172" s="4">
        <f t="shared" si="61"/>
        <v>0.82462112512353181</v>
      </c>
      <c r="S172" s="4">
        <f t="shared" si="53"/>
        <v>0.10641335763508875</v>
      </c>
      <c r="T172" s="4">
        <f>(Q164-Q172)/R172</f>
        <v>8.3632974150459838E-2</v>
      </c>
      <c r="AD172" s="4">
        <f t="shared" si="62"/>
        <v>0.59999999999999964</v>
      </c>
      <c r="AE172" s="4">
        <f t="shared" si="54"/>
        <v>0.74999999999999967</v>
      </c>
      <c r="AF172" s="4">
        <f t="shared" si="55"/>
        <v>0.44318719410410878</v>
      </c>
      <c r="AG172" s="4">
        <f t="shared" si="56"/>
        <v>0.30681280589589088</v>
      </c>
      <c r="AH172" s="4">
        <f>(AE164-AE172)/AF172</f>
        <v>0.56409572146002263</v>
      </c>
      <c r="AR172" s="4">
        <f t="shared" si="63"/>
        <v>0.59999999999999964</v>
      </c>
      <c r="AS172" s="4">
        <f t="shared" si="57"/>
        <v>0.74999999999999967</v>
      </c>
      <c r="AT172" s="4">
        <f t="shared" si="58"/>
        <v>0.65199332428231971</v>
      </c>
      <c r="AU172" s="4">
        <f t="shared" si="59"/>
        <v>9.8006675717679959E-2</v>
      </c>
      <c r="AV172" s="4">
        <f>(AS164-AS172)/AT172</f>
        <v>0.38343950879433819</v>
      </c>
    </row>
    <row r="173" spans="2:59" s="4" customFormat="1" x14ac:dyDescent="0.25">
      <c r="B173" s="4">
        <f t="shared" si="60"/>
        <v>0.5499999999999996</v>
      </c>
      <c r="C173" s="4">
        <f t="shared" si="49"/>
        <v>0.91666666666666663</v>
      </c>
      <c r="D173" s="4">
        <f t="shared" si="50"/>
        <v>0.63817887376936389</v>
      </c>
      <c r="E173" s="4">
        <f t="shared" si="51"/>
        <v>0.27848779289730274</v>
      </c>
      <c r="F173" s="4">
        <f>(C172-C173)/D173</f>
        <v>2.2513775811930765E-2</v>
      </c>
      <c r="O173" s="4">
        <f t="shared" si="65"/>
        <v>0.9</v>
      </c>
      <c r="P173" s="4">
        <f t="shared" si="64"/>
        <v>0.5499999999999996</v>
      </c>
      <c r="Q173" s="4">
        <f t="shared" si="52"/>
        <v>0.91666666666666663</v>
      </c>
      <c r="R173" s="4">
        <f t="shared" si="61"/>
        <v>0.80700061957844826</v>
      </c>
      <c r="S173" s="4">
        <f t="shared" si="53"/>
        <v>0.10966604708821837</v>
      </c>
      <c r="T173" s="4">
        <f>(Q172-Q173)/R173</f>
        <v>1.7803971574965105E-2</v>
      </c>
      <c r="AD173" s="4">
        <f t="shared" si="62"/>
        <v>0.5499999999999996</v>
      </c>
      <c r="AE173" s="4">
        <f t="shared" si="54"/>
        <v>0.70967741935483841</v>
      </c>
      <c r="AF173" s="4">
        <f t="shared" si="55"/>
        <v>0.43075418864244863</v>
      </c>
      <c r="AG173" s="4">
        <f t="shared" si="56"/>
        <v>0.27892323071238978</v>
      </c>
      <c r="AH173" s="4">
        <f>(AE172-AE173)/AF173</f>
        <v>9.3609259546008433E-2</v>
      </c>
      <c r="AR173" s="4">
        <f t="shared" si="63"/>
        <v>0.5499999999999996</v>
      </c>
      <c r="AS173" s="4">
        <f t="shared" si="57"/>
        <v>0.70967741935483841</v>
      </c>
      <c r="AT173" s="4">
        <f t="shared" si="58"/>
        <v>0.63817887376936389</v>
      </c>
      <c r="AU173" s="4">
        <f t="shared" si="59"/>
        <v>7.1498545585474527E-2</v>
      </c>
      <c r="AV173" s="4">
        <f>(AS172-AS173)/AT173</f>
        <v>6.3183822439935117E-2</v>
      </c>
    </row>
    <row r="174" spans="2:59" s="4" customFormat="1" x14ac:dyDescent="0.25">
      <c r="B174" s="4">
        <f t="shared" si="60"/>
        <v>0.49999999999999961</v>
      </c>
      <c r="C174" s="4">
        <f t="shared" si="49"/>
        <v>0.89999999999999991</v>
      </c>
      <c r="D174" s="4">
        <f t="shared" si="50"/>
        <v>0.62548483530904031</v>
      </c>
      <c r="E174" s="4">
        <f t="shared" si="51"/>
        <v>0.2745151646909596</v>
      </c>
      <c r="F174" s="4">
        <f>(C172-C174)/D174</f>
        <v>4.9616682942100566E-2</v>
      </c>
      <c r="O174" s="4">
        <f t="shared" si="65"/>
        <v>0.9</v>
      </c>
      <c r="P174" s="4">
        <f t="shared" si="64"/>
        <v>0.49999999999999961</v>
      </c>
      <c r="Q174" s="4">
        <f t="shared" si="52"/>
        <v>0.89999999999999991</v>
      </c>
      <c r="R174" s="4">
        <f t="shared" si="61"/>
        <v>0.79056941504209455</v>
      </c>
      <c r="S174" s="4">
        <f t="shared" si="53"/>
        <v>0.10943058495790536</v>
      </c>
      <c r="T174" s="4">
        <f>(Q172-Q174)/R174</f>
        <v>3.9255860608986733E-2</v>
      </c>
      <c r="AD174" s="4">
        <f t="shared" si="62"/>
        <v>0.49999999999999961</v>
      </c>
      <c r="AE174" s="4">
        <f t="shared" si="54"/>
        <v>0.6666666666666663</v>
      </c>
      <c r="AF174" s="4">
        <f t="shared" si="55"/>
        <v>0.41932955402815741</v>
      </c>
      <c r="AG174" s="4">
        <f t="shared" si="56"/>
        <v>0.24733711263850888</v>
      </c>
      <c r="AH174" s="4">
        <f>(AE172-AE174)/AF174</f>
        <v>0.19872993098821184</v>
      </c>
      <c r="AR174" s="4">
        <f t="shared" si="63"/>
        <v>0.49999999999999961</v>
      </c>
      <c r="AS174" s="4">
        <f t="shared" si="57"/>
        <v>0.6666666666666663</v>
      </c>
      <c r="AT174" s="4">
        <f t="shared" si="58"/>
        <v>0.62548483530904031</v>
      </c>
      <c r="AU174" s="4">
        <f t="shared" si="59"/>
        <v>4.1181831357625986E-2</v>
      </c>
      <c r="AV174" s="4">
        <f>(AS172-AS174)/AT174</f>
        <v>0.1332299819741592</v>
      </c>
    </row>
    <row r="175" spans="2:59" s="4" customFormat="1" x14ac:dyDescent="0.25">
      <c r="B175" s="4">
        <f t="shared" si="60"/>
        <v>0.44999999999999962</v>
      </c>
      <c r="C175" s="4">
        <f t="shared" si="49"/>
        <v>0.88043478260869545</v>
      </c>
      <c r="D175" s="4">
        <f t="shared" si="50"/>
        <v>0.61393202250020984</v>
      </c>
      <c r="E175" s="4">
        <f t="shared" si="51"/>
        <v>0.26650276010848561</v>
      </c>
      <c r="F175" s="4">
        <f>(C172-C175)/D175</f>
        <v>8.2419059921097049E-2</v>
      </c>
      <c r="O175" s="4">
        <f t="shared" si="65"/>
        <v>0.9</v>
      </c>
      <c r="P175" s="4">
        <f t="shared" si="64"/>
        <v>0.44999999999999962</v>
      </c>
      <c r="Q175" s="4">
        <f t="shared" si="52"/>
        <v>0.88043478260869545</v>
      </c>
      <c r="R175" s="4">
        <f t="shared" si="61"/>
        <v>0.7754031209635408</v>
      </c>
      <c r="S175" s="4">
        <f t="shared" si="53"/>
        <v>0.10503166164515465</v>
      </c>
      <c r="T175" s="4">
        <f>(Q172-Q175)/R175</f>
        <v>6.5255992376002159E-2</v>
      </c>
      <c r="AD175" s="4">
        <f t="shared" si="62"/>
        <v>0.44999999999999962</v>
      </c>
      <c r="AE175" s="4">
        <f t="shared" si="54"/>
        <v>0.62068965517241337</v>
      </c>
      <c r="AF175" s="4">
        <f t="shared" si="55"/>
        <v>0.40893202250020999</v>
      </c>
      <c r="AG175" s="4">
        <f t="shared" si="56"/>
        <v>0.21175763267220338</v>
      </c>
      <c r="AH175" s="4">
        <f>(AE172-AE175)/AF175</f>
        <v>0.3162147685010897</v>
      </c>
      <c r="AR175" s="4">
        <f t="shared" si="63"/>
        <v>0.44999999999999962</v>
      </c>
      <c r="AS175" s="4">
        <f t="shared" si="57"/>
        <v>0.62068965517241337</v>
      </c>
      <c r="AT175" s="4">
        <f t="shared" si="58"/>
        <v>0.61393202250020984</v>
      </c>
      <c r="AU175" s="4">
        <f t="shared" si="59"/>
        <v>6.7576326722035285E-3</v>
      </c>
      <c r="AV175" s="4">
        <f>(AS172-AS175)/AT175</f>
        <v>0.21062648646502569</v>
      </c>
    </row>
    <row r="176" spans="2:59" s="4" customFormat="1" x14ac:dyDescent="0.25">
      <c r="B176" s="4">
        <f t="shared" si="60"/>
        <v>0.39999999999999963</v>
      </c>
      <c r="C176" s="4">
        <f t="shared" si="49"/>
        <v>0.85714285714285687</v>
      </c>
      <c r="D176" s="4">
        <f t="shared" si="50"/>
        <v>0.60353982793732408</v>
      </c>
      <c r="E176" s="4">
        <f t="shared" si="51"/>
        <v>0.25360302920553279</v>
      </c>
      <c r="F176" s="4">
        <f>(C172-C176)/D176</f>
        <v>0.12243040507914436</v>
      </c>
      <c r="O176" s="4">
        <f t="shared" si="65"/>
        <v>0.9</v>
      </c>
      <c r="P176" s="4">
        <f t="shared" si="64"/>
        <v>0.39999999999999963</v>
      </c>
      <c r="Q176" s="4">
        <f t="shared" si="52"/>
        <v>0.85714285714285687</v>
      </c>
      <c r="R176" s="4">
        <f t="shared" si="61"/>
        <v>0.76157731058639055</v>
      </c>
      <c r="S176" s="4">
        <f t="shared" si="53"/>
        <v>9.5565546556466319E-2</v>
      </c>
      <c r="T176" s="4">
        <f>(Q172-Q176)/R176</f>
        <v>9.7024457778120327E-2</v>
      </c>
      <c r="AD176" s="4">
        <f t="shared" si="62"/>
        <v>0.39999999999999963</v>
      </c>
      <c r="AE176" s="4">
        <f t="shared" si="54"/>
        <v>0.57142857142857106</v>
      </c>
      <c r="AF176" s="4">
        <f t="shared" si="55"/>
        <v>0.39957904739361272</v>
      </c>
      <c r="AG176" s="4">
        <f t="shared" si="56"/>
        <v>0.17184952403495835</v>
      </c>
      <c r="AH176" s="4">
        <f>(AE172-AE176)/AF176</f>
        <v>0.44689887954891566</v>
      </c>
      <c r="AR176" s="4">
        <f t="shared" si="63"/>
        <v>0.39999999999999963</v>
      </c>
      <c r="AS176" s="4">
        <f t="shared" si="57"/>
        <v>0.57142857142857106</v>
      </c>
      <c r="AT176" s="4">
        <f t="shared" si="58"/>
        <v>0.60353982793732408</v>
      </c>
      <c r="AU176" s="4">
        <f t="shared" si="59"/>
        <v>-3.2111256508753017E-2</v>
      </c>
      <c r="AV176" s="4">
        <f>(AS172-AS176)/AT176</f>
        <v>0.29587347894126509</v>
      </c>
    </row>
    <row r="177" spans="2:59" s="4" customFormat="1" x14ac:dyDescent="0.25">
      <c r="B177" s="4">
        <f t="shared" si="60"/>
        <v>0.34999999999999964</v>
      </c>
      <c r="C177" s="4">
        <f t="shared" si="49"/>
        <v>0.82894736842105243</v>
      </c>
      <c r="D177" s="4">
        <f t="shared" si="50"/>
        <v>0.59432607292490536</v>
      </c>
      <c r="E177" s="4">
        <f t="shared" si="51"/>
        <v>0.23462129549614708</v>
      </c>
      <c r="F177" s="4">
        <f>(C172-C177)/D177</f>
        <v>0.17176953693981231</v>
      </c>
      <c r="O177" s="4">
        <f t="shared" si="65"/>
        <v>0.9</v>
      </c>
      <c r="P177" s="4">
        <f t="shared" si="64"/>
        <v>0.34999999999999964</v>
      </c>
      <c r="Q177" s="4">
        <f t="shared" si="52"/>
        <v>0.82894736842105243</v>
      </c>
      <c r="R177" s="4">
        <f t="shared" si="61"/>
        <v>0.74916620318858462</v>
      </c>
      <c r="S177" s="4">
        <f t="shared" si="53"/>
        <v>7.978116523246781E-2</v>
      </c>
      <c r="T177" s="4">
        <f>(Q172-Q177)/R177</f>
        <v>0.13626764515412895</v>
      </c>
      <c r="AD177" s="4">
        <f t="shared" si="62"/>
        <v>0.34999999999999964</v>
      </c>
      <c r="AE177" s="4">
        <f t="shared" si="54"/>
        <v>0.51851851851851816</v>
      </c>
      <c r="AF177" s="4">
        <f t="shared" si="55"/>
        <v>0.39128666788243582</v>
      </c>
      <c r="AG177" s="4">
        <f t="shared" si="56"/>
        <v>0.12723185063608233</v>
      </c>
      <c r="AH177" s="4">
        <f>(AE172-AE177)/AF177</f>
        <v>0.59159051529716666</v>
      </c>
      <c r="AR177" s="4">
        <f t="shared" si="63"/>
        <v>0.34999999999999964</v>
      </c>
      <c r="AS177" s="4">
        <f t="shared" si="57"/>
        <v>0.51851851851851816</v>
      </c>
      <c r="AT177" s="4">
        <f t="shared" si="58"/>
        <v>0.59432607292490536</v>
      </c>
      <c r="AU177" s="4">
        <f t="shared" si="59"/>
        <v>-7.5807554406387201E-2</v>
      </c>
      <c r="AV177" s="4">
        <f>(AS172-AS177)/AT177</f>
        <v>0.38948565783471828</v>
      </c>
    </row>
    <row r="178" spans="2:59" s="4" customFormat="1" x14ac:dyDescent="0.25">
      <c r="B178" s="4">
        <f t="shared" si="60"/>
        <v>0.29999999999999966</v>
      </c>
      <c r="C178" s="4">
        <f t="shared" si="49"/>
        <v>0.79411764705882326</v>
      </c>
      <c r="D178" s="4">
        <f t="shared" si="50"/>
        <v>0.5863068641158784</v>
      </c>
      <c r="E178" s="4">
        <f t="shared" si="51"/>
        <v>0.20781078294294486</v>
      </c>
      <c r="F178" s="4">
        <f>(C172-C178)/D178</f>
        <v>0.23352419028261093</v>
      </c>
      <c r="O178" s="4">
        <f t="shared" si="65"/>
        <v>0.9</v>
      </c>
      <c r="P178" s="4">
        <f t="shared" si="64"/>
        <v>0.29999999999999966</v>
      </c>
      <c r="Q178" s="4">
        <f t="shared" si="52"/>
        <v>0.79411764705882326</v>
      </c>
      <c r="R178" s="4">
        <f t="shared" si="61"/>
        <v>0.7382411530116697</v>
      </c>
      <c r="S178" s="4">
        <f t="shared" si="53"/>
        <v>5.5876494047153558E-2</v>
      </c>
      <c r="T178" s="4">
        <f>(Q172-Q178)/R178</f>
        <v>0.18546356450225282</v>
      </c>
      <c r="AD178" s="4">
        <f t="shared" si="62"/>
        <v>0.29999999999999966</v>
      </c>
      <c r="AE178" s="4">
        <f t="shared" si="54"/>
        <v>0.46153846153846118</v>
      </c>
      <c r="AF178" s="4">
        <f t="shared" si="55"/>
        <v>0.38406937995431156</v>
      </c>
      <c r="AG178" s="4">
        <f t="shared" si="56"/>
        <v>7.7469081584149613E-2</v>
      </c>
      <c r="AH178" s="4">
        <f>(AE172-AE178)/AF178</f>
        <v>0.75106622271177548</v>
      </c>
      <c r="AR178" s="4">
        <f t="shared" si="63"/>
        <v>0.29999999999999966</v>
      </c>
      <c r="AS178" s="4">
        <f t="shared" si="57"/>
        <v>0.46153846153846118</v>
      </c>
      <c r="AT178" s="4">
        <f t="shared" si="58"/>
        <v>0.5863068641158784</v>
      </c>
      <c r="AU178" s="4">
        <f t="shared" si="59"/>
        <v>-0.12476840257741723</v>
      </c>
      <c r="AV178" s="4">
        <f>(AS172-AS178)/AT178</f>
        <v>0.4919975461937055</v>
      </c>
    </row>
    <row r="179" spans="2:59" x14ac:dyDescent="0.25">
      <c r="B179" s="1">
        <f t="shared" si="60"/>
        <v>0.24999999999999967</v>
      </c>
      <c r="C179" s="1">
        <f t="shared" si="49"/>
        <v>0.74999999999999967</v>
      </c>
      <c r="D179" s="1">
        <f t="shared" si="50"/>
        <v>0.5794964595748473</v>
      </c>
      <c r="E179" s="4">
        <f t="shared" si="51"/>
        <v>0.17050354042515237</v>
      </c>
      <c r="F179" s="1">
        <f>(C172-C179)/D179</f>
        <v>0.31239963552398309</v>
      </c>
      <c r="G179" s="4"/>
      <c r="H179" s="4"/>
      <c r="I179" s="4"/>
      <c r="J179" s="4"/>
      <c r="K179" s="4"/>
      <c r="L179" s="4"/>
      <c r="M179" s="4"/>
      <c r="N179" s="4"/>
      <c r="O179" s="4">
        <f t="shared" si="65"/>
        <v>0.9</v>
      </c>
      <c r="P179" s="1">
        <f t="shared" si="64"/>
        <v>0.24999999999999967</v>
      </c>
      <c r="Q179" s="1">
        <f t="shared" si="52"/>
        <v>0.74999999999999967</v>
      </c>
      <c r="R179" s="4">
        <f t="shared" si="61"/>
        <v>0.72886898685566226</v>
      </c>
      <c r="S179" s="4">
        <f t="shared" si="53"/>
        <v>2.1131013144337407E-2</v>
      </c>
      <c r="T179" s="1">
        <f>(Q172-Q179)/R179</f>
        <v>0.24837726124087522</v>
      </c>
      <c r="AC179" s="4"/>
      <c r="AD179" s="1">
        <f t="shared" si="62"/>
        <v>0.24999999999999967</v>
      </c>
      <c r="AE179" s="1">
        <f t="shared" si="54"/>
        <v>0.39999999999999963</v>
      </c>
      <c r="AF179" s="1">
        <f t="shared" si="55"/>
        <v>0.37794001586738357</v>
      </c>
      <c r="AG179" s="4">
        <f t="shared" si="56"/>
        <v>2.2059984132616062E-2</v>
      </c>
      <c r="AH179" s="1">
        <f>(AE172-AE179)/AF179</f>
        <v>0.92607288274764876</v>
      </c>
      <c r="AR179" s="1">
        <f t="shared" si="63"/>
        <v>0.24999999999999967</v>
      </c>
      <c r="AS179" s="1">
        <f t="shared" si="57"/>
        <v>0.39999999999999963</v>
      </c>
      <c r="AT179" s="1">
        <f t="shared" si="58"/>
        <v>0.5794964595748473</v>
      </c>
      <c r="AU179" s="4">
        <f t="shared" si="59"/>
        <v>-0.17949645957484767</v>
      </c>
      <c r="AV179" s="1">
        <f>(AS172-AS179)/AT179</f>
        <v>0.60397262867970003</v>
      </c>
      <c r="AY179" s="4"/>
      <c r="AZ179" s="4"/>
      <c r="BA179" s="4"/>
      <c r="BB179" s="4"/>
      <c r="BC179" s="4"/>
      <c r="BD179" s="4"/>
      <c r="BE179" s="4"/>
      <c r="BF179" s="4"/>
      <c r="BG179" s="4"/>
    </row>
    <row r="180" spans="2:59" x14ac:dyDescent="0.25">
      <c r="B180" s="1">
        <f t="shared" si="60"/>
        <v>0.19999999999999968</v>
      </c>
      <c r="C180" s="1">
        <f t="shared" si="49"/>
        <v>0.69230769230769185</v>
      </c>
      <c r="D180" s="1">
        <f t="shared" si="50"/>
        <v>0.57390714672438792</v>
      </c>
      <c r="E180" s="4">
        <f t="shared" si="51"/>
        <v>0.11840054558330393</v>
      </c>
      <c r="F180" s="1">
        <f>(C172-C180)/D180</f>
        <v>0.41596762091825701</v>
      </c>
      <c r="G180" s="4"/>
      <c r="H180" s="4"/>
      <c r="I180" s="4"/>
      <c r="J180" s="4"/>
      <c r="K180" s="4"/>
      <c r="L180" s="4"/>
      <c r="M180" s="4"/>
      <c r="N180" s="4"/>
      <c r="O180" s="4">
        <f t="shared" si="65"/>
        <v>0.9</v>
      </c>
      <c r="P180" s="1">
        <f t="shared" si="64"/>
        <v>0.19999999999999968</v>
      </c>
      <c r="Q180" s="1">
        <f t="shared" si="52"/>
        <v>0.69230769230769185</v>
      </c>
      <c r="R180" s="4">
        <f t="shared" si="61"/>
        <v>0.72111025509279758</v>
      </c>
      <c r="S180" s="4">
        <f t="shared" si="53"/>
        <v>-2.8802562785105734E-2</v>
      </c>
      <c r="T180" s="1">
        <f>(Q172-Q180)/R180</f>
        <v>0.33105449376837337</v>
      </c>
      <c r="AC180" s="4"/>
      <c r="AD180" s="1">
        <f t="shared" si="62"/>
        <v>0.19999999999999968</v>
      </c>
      <c r="AE180" s="1">
        <f t="shared" si="54"/>
        <v>0.33333333333333287</v>
      </c>
      <c r="AF180" s="1">
        <f t="shared" si="55"/>
        <v>0.37290963430197022</v>
      </c>
      <c r="AG180" s="4"/>
      <c r="AH180" s="1">
        <f>(AE172-AE180)/AF180</f>
        <v>1.1173395062495584</v>
      </c>
      <c r="AR180" s="1">
        <f t="shared" si="63"/>
        <v>0.19999999999999968</v>
      </c>
      <c r="AS180" s="1">
        <f t="shared" si="57"/>
        <v>0.33333333333333287</v>
      </c>
      <c r="AT180" s="1">
        <f t="shared" si="58"/>
        <v>0.57390714672438792</v>
      </c>
      <c r="AU180" s="4">
        <f t="shared" si="59"/>
        <v>-0.24057381339105505</v>
      </c>
      <c r="AV180" s="1">
        <f>(AS172-AS180)/AT180</f>
        <v>0.72601756058417932</v>
      </c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2:59" x14ac:dyDescent="0.25">
      <c r="B181" s="1">
        <f t="shared" si="60"/>
        <v>0.14999999999999969</v>
      </c>
      <c r="C181" s="1">
        <f t="shared" si="49"/>
        <v>0.61363636363636309</v>
      </c>
      <c r="D181" s="1">
        <f t="shared" si="50"/>
        <v>0.56954913451336786</v>
      </c>
      <c r="E181" s="1">
        <f t="shared" si="51"/>
        <v>4.4087229122995231E-2</v>
      </c>
      <c r="F181" s="1">
        <f>(C164-C181)/D181</f>
        <v>0.6783675243291386</v>
      </c>
      <c r="G181" s="4"/>
      <c r="H181" s="4"/>
      <c r="I181" s="4"/>
      <c r="J181" s="4"/>
      <c r="K181" s="4"/>
      <c r="L181" s="4"/>
      <c r="M181" s="4"/>
      <c r="N181" s="4"/>
      <c r="O181" s="4">
        <f t="shared" si="65"/>
        <v>0.9</v>
      </c>
      <c r="P181" s="1">
        <f t="shared" si="64"/>
        <v>0.14999999999999969</v>
      </c>
      <c r="Q181" s="1">
        <f t="shared" si="52"/>
        <v>0.61363636363636309</v>
      </c>
      <c r="R181" s="4">
        <f t="shared" si="61"/>
        <v>0.71501748230375439</v>
      </c>
      <c r="S181" s="1">
        <f t="shared" si="53"/>
        <v>-0.1013811186673913</v>
      </c>
      <c r="T181" s="1">
        <f>(Q164-Q181)/R181</f>
        <v>0.54035551007618798</v>
      </c>
      <c r="AC181" s="4"/>
      <c r="AD181" s="1">
        <f t="shared" si="62"/>
        <v>0.14999999999999969</v>
      </c>
      <c r="AE181" s="1">
        <f t="shared" si="54"/>
        <v>0.26086956521739085</v>
      </c>
      <c r="AF181" s="1">
        <f t="shared" si="55"/>
        <v>0.36898742331205203</v>
      </c>
      <c r="AH181" s="1">
        <f>(AE164-AE181)/AF181</f>
        <v>2.0031317819673431</v>
      </c>
      <c r="AR181" s="1">
        <f t="shared" si="63"/>
        <v>0.14999999999999969</v>
      </c>
      <c r="AS181" s="1">
        <f t="shared" si="57"/>
        <v>0.26086956521739085</v>
      </c>
      <c r="AT181" s="1">
        <f t="shared" si="58"/>
        <v>0.56954913451336786</v>
      </c>
      <c r="AU181" s="1">
        <f t="shared" si="59"/>
        <v>-0.30867956929597701</v>
      </c>
      <c r="AV181" s="1">
        <f>(AS164-AS181)/AT181</f>
        <v>1.2977465682818292</v>
      </c>
      <c r="AY181" s="4"/>
      <c r="AZ181" s="4"/>
      <c r="BA181" s="4"/>
      <c r="BB181" s="4"/>
      <c r="BC181" s="4"/>
      <c r="BD181" s="4"/>
      <c r="BE181" s="4"/>
      <c r="BF181" s="4"/>
      <c r="BG181" s="4"/>
    </row>
    <row r="182" spans="2:59" x14ac:dyDescent="0.25">
      <c r="B182" s="1">
        <f t="shared" si="60"/>
        <v>9.9999999999999686E-2</v>
      </c>
      <c r="C182" s="1">
        <f t="shared" si="49"/>
        <v>0.49999999999999906</v>
      </c>
      <c r="D182" s="1">
        <f t="shared" si="50"/>
        <v>0.56643046195028868</v>
      </c>
      <c r="E182" s="1">
        <f t="shared" si="51"/>
        <v>-6.6430461950289621E-2</v>
      </c>
      <c r="F182" s="1">
        <f>(C164-C182)/D182</f>
        <v>0.88272088735913024</v>
      </c>
      <c r="G182" s="4"/>
      <c r="H182" s="4"/>
      <c r="I182" s="4"/>
      <c r="J182" s="4"/>
      <c r="K182" s="4"/>
      <c r="L182" s="4"/>
      <c r="M182" s="4"/>
      <c r="N182" s="4"/>
      <c r="O182" s="4">
        <f t="shared" si="65"/>
        <v>0.9</v>
      </c>
      <c r="P182" s="1">
        <f t="shared" si="64"/>
        <v>9.9999999999999686E-2</v>
      </c>
      <c r="Q182" s="1">
        <f t="shared" si="52"/>
        <v>0.49999999999999906</v>
      </c>
      <c r="R182" s="4">
        <f t="shared" si="61"/>
        <v>0.71063352017759451</v>
      </c>
      <c r="S182" s="1">
        <f t="shared" si="53"/>
        <v>-0.21063352017759546</v>
      </c>
      <c r="T182" s="1">
        <f>(Q164-Q182)/R182</f>
        <v>0.70359754473029334</v>
      </c>
      <c r="AC182" s="4"/>
      <c r="AD182" s="1">
        <f t="shared" si="62"/>
        <v>9.9999999999999686E-2</v>
      </c>
      <c r="AE182" s="1">
        <f t="shared" si="54"/>
        <v>0.1818181818181813</v>
      </c>
      <c r="AF182" s="1">
        <f t="shared" si="55"/>
        <v>0.3661806180052809</v>
      </c>
      <c r="AH182" s="1">
        <f>(AE164-AE182)/AF182</f>
        <v>2.2343668068472677</v>
      </c>
      <c r="AR182" s="1">
        <f t="shared" si="63"/>
        <v>9.9999999999999686E-2</v>
      </c>
      <c r="AS182" s="1">
        <f t="shared" si="57"/>
        <v>0.1818181818181813</v>
      </c>
      <c r="AT182" s="1">
        <f t="shared" si="58"/>
        <v>0.56643046195028868</v>
      </c>
      <c r="AV182" s="1">
        <f>(AS164-AS182)/AT182</f>
        <v>1.4444523611331206</v>
      </c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2:59" x14ac:dyDescent="0.25">
      <c r="B183" s="1">
        <f t="shared" si="60"/>
        <v>4.9999999999999684E-2</v>
      </c>
      <c r="C183" s="1">
        <f t="shared" si="49"/>
        <v>0.32142857142857001</v>
      </c>
      <c r="D183" s="1">
        <f t="shared" si="50"/>
        <v>0.56455692487446596</v>
      </c>
      <c r="E183" s="1">
        <f t="shared" si="51"/>
        <v>-0.24312835344589595</v>
      </c>
      <c r="F183" s="1">
        <f>(C165-C183)/D183</f>
        <v>1.1916556957168689</v>
      </c>
      <c r="G183" s="4"/>
      <c r="H183" s="4"/>
      <c r="I183" s="4"/>
      <c r="J183" s="4"/>
      <c r="K183" s="4"/>
      <c r="L183" s="4"/>
      <c r="M183" s="4"/>
      <c r="N183" s="4"/>
      <c r="O183" s="4">
        <f t="shared" si="65"/>
        <v>0.9</v>
      </c>
      <c r="P183" s="1">
        <f t="shared" si="64"/>
        <v>4.9999999999999684E-2</v>
      </c>
      <c r="Q183" s="1">
        <f t="shared" si="52"/>
        <v>0.32142857142857001</v>
      </c>
      <c r="R183" s="4">
        <f t="shared" si="61"/>
        <v>0.70799011292531466</v>
      </c>
      <c r="S183" s="1">
        <f t="shared" si="53"/>
        <v>-0.38656154149674465</v>
      </c>
      <c r="T183" s="1">
        <f>(Q165-Q183)/R183</f>
        <v>0.9502356922801074</v>
      </c>
      <c r="AC183" s="4"/>
      <c r="AD183" s="1">
        <f t="shared" si="62"/>
        <v>4.9999999999999684E-2</v>
      </c>
      <c r="AE183" s="1">
        <f t="shared" si="54"/>
        <v>9.5238095238094678E-2</v>
      </c>
      <c r="AF183" s="1">
        <f t="shared" si="55"/>
        <v>0.36449443463704045</v>
      </c>
      <c r="AH183" s="1">
        <f>(AE165-AE183)/AF183</f>
        <v>2.4118910896302124</v>
      </c>
      <c r="AR183" s="1">
        <f t="shared" si="63"/>
        <v>4.9999999999999684E-2</v>
      </c>
      <c r="AS183" s="1">
        <f t="shared" si="57"/>
        <v>9.5238095238094678E-2</v>
      </c>
      <c r="AT183" s="1">
        <f t="shared" si="58"/>
        <v>0.56455692487446596</v>
      </c>
      <c r="AV183" s="1">
        <f>(AS165-AS183)/AT183</f>
        <v>1.5571873098826299</v>
      </c>
      <c r="AY183" s="4"/>
      <c r="AZ183" s="4"/>
      <c r="BA183" s="4"/>
      <c r="BB183" s="4"/>
      <c r="BC183" s="4"/>
      <c r="BD183" s="4"/>
      <c r="BE183" s="4"/>
      <c r="BF183" s="4"/>
      <c r="BG183" s="4"/>
    </row>
    <row r="184" spans="2:59" x14ac:dyDescent="0.25">
      <c r="B184" s="1">
        <v>1E-3</v>
      </c>
      <c r="C184" s="1">
        <f t="shared" si="49"/>
        <v>8.9285714285714298E-3</v>
      </c>
      <c r="D184" s="1">
        <f t="shared" si="50"/>
        <v>0.56393227250019429</v>
      </c>
      <c r="E184" s="1">
        <f t="shared" si="51"/>
        <v>-0.55500370107162289</v>
      </c>
      <c r="F184" s="1">
        <f>(C166-C184)/D184</f>
        <v>1.7358047310900651</v>
      </c>
      <c r="G184" s="4"/>
      <c r="H184" s="4"/>
      <c r="I184" s="4"/>
      <c r="J184" s="4"/>
      <c r="K184" s="4"/>
      <c r="L184" s="4"/>
      <c r="M184" s="4"/>
      <c r="N184" s="4"/>
      <c r="O184" s="4">
        <f t="shared" si="65"/>
        <v>0.9</v>
      </c>
      <c r="P184" s="1">
        <v>1E-3</v>
      </c>
      <c r="Q184" s="1">
        <f t="shared" si="52"/>
        <v>8.9285714285714298E-3</v>
      </c>
      <c r="R184" s="4">
        <f t="shared" si="61"/>
        <v>0.70710713473984965</v>
      </c>
      <c r="S184" s="1">
        <f t="shared" si="53"/>
        <v>-0.69817856331127826</v>
      </c>
      <c r="T184" s="1">
        <f>(Q166-Q184)/R184</f>
        <v>1.3843394565384288</v>
      </c>
      <c r="AC184" s="4"/>
      <c r="AD184" s="1">
        <v>1E-3</v>
      </c>
      <c r="AE184" s="1">
        <f t="shared" si="54"/>
        <v>1.9980019980019984E-3</v>
      </c>
      <c r="AF184" s="1">
        <f t="shared" si="55"/>
        <v>0.36393224750019582</v>
      </c>
      <c r="AH184" s="1">
        <f>(AE166-AE184)/AF184</f>
        <v>2.597654990862333</v>
      </c>
      <c r="AR184" s="1">
        <v>1E-3</v>
      </c>
      <c r="AS184" s="1">
        <f t="shared" si="57"/>
        <v>1.9980019980019984E-3</v>
      </c>
      <c r="AT184" s="1">
        <f t="shared" si="58"/>
        <v>0.56393227250019429</v>
      </c>
      <c r="AV184" s="1">
        <f>(AS166-AS184)/AT184</f>
        <v>1.6763899942511338</v>
      </c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2:59" x14ac:dyDescent="0.25">
      <c r="G185" s="4"/>
      <c r="H185" s="4"/>
      <c r="I185" s="4"/>
      <c r="J185" s="4"/>
      <c r="K185" s="4"/>
      <c r="L185" s="4"/>
      <c r="M185" s="4"/>
      <c r="N185" s="4"/>
      <c r="O185" s="4"/>
      <c r="AC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spans="2:59" x14ac:dyDescent="0.25">
      <c r="G186" s="4"/>
      <c r="H186" s="4"/>
      <c r="I186" s="4"/>
      <c r="J186" s="4"/>
      <c r="K186" s="4"/>
      <c r="L186" s="4"/>
      <c r="M186" s="4"/>
      <c r="N186" s="4"/>
      <c r="O186" s="4"/>
      <c r="AC186" s="4"/>
      <c r="AY186" s="4"/>
      <c r="AZ186" s="4"/>
      <c r="BA186" s="4"/>
      <c r="BB186" s="4"/>
      <c r="BC186" s="4"/>
      <c r="BD186" s="4"/>
      <c r="BE186" s="4"/>
      <c r="BF186" s="4"/>
      <c r="BG186" s="4"/>
    </row>
    <row r="243" spans="16:16" x14ac:dyDescent="0.25">
      <c r="P243" s="1" t="s">
        <v>49</v>
      </c>
    </row>
    <row r="280" spans="15:15" x14ac:dyDescent="0.25">
      <c r="O280" s="1" t="s">
        <v>50</v>
      </c>
    </row>
    <row r="282" spans="15:15" x14ac:dyDescent="0.25">
      <c r="O282" s="1" t="s">
        <v>51</v>
      </c>
    </row>
  </sheetData>
  <conditionalFormatting sqref="AG131:AG151">
    <cfRule type="top10" dxfId="16" priority="17" rank="1"/>
  </conditionalFormatting>
  <conditionalFormatting sqref="E131:E151">
    <cfRule type="top10" dxfId="15" priority="16" rank="1"/>
  </conditionalFormatting>
  <conditionalFormatting sqref="S131:S151">
    <cfRule type="top10" dxfId="14" priority="15" rank="1"/>
  </conditionalFormatting>
  <conditionalFormatting sqref="E99:E120">
    <cfRule type="top10" dxfId="13" priority="14" rank="1"/>
  </conditionalFormatting>
  <conditionalFormatting sqref="S99:S119">
    <cfRule type="top10" dxfId="12" priority="13" rank="1"/>
  </conditionalFormatting>
  <conditionalFormatting sqref="AG99:AG119">
    <cfRule type="top10" dxfId="11" priority="12" rank="1"/>
  </conditionalFormatting>
  <conditionalFormatting sqref="AU99:AU119">
    <cfRule type="top10" dxfId="10" priority="11" rank="1"/>
  </conditionalFormatting>
  <conditionalFormatting sqref="AU131:AU151">
    <cfRule type="top10" dxfId="9" priority="10" rank="1"/>
  </conditionalFormatting>
  <conditionalFormatting sqref="S120">
    <cfRule type="top10" dxfId="8" priority="9" rank="1"/>
  </conditionalFormatting>
  <conditionalFormatting sqref="E164:E183">
    <cfRule type="top10" dxfId="7" priority="8" rank="1"/>
  </conditionalFormatting>
  <conditionalFormatting sqref="S164:S184">
    <cfRule type="top10" dxfId="6" priority="7" rank="1"/>
  </conditionalFormatting>
  <conditionalFormatting sqref="AG164:AG184">
    <cfRule type="top10" dxfId="5" priority="6" rank="1"/>
  </conditionalFormatting>
  <conditionalFormatting sqref="AU164:AU184">
    <cfRule type="top10" dxfId="4" priority="5" rank="1"/>
  </conditionalFormatting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5"/>
  <sheetViews>
    <sheetView tabSelected="1" topLeftCell="A13" zoomScale="83" zoomScaleNormal="83" workbookViewId="0">
      <selection activeCell="W26" sqref="W26"/>
    </sheetView>
  </sheetViews>
  <sheetFormatPr defaultRowHeight="14.4" x14ac:dyDescent="0.3"/>
  <cols>
    <col min="2" max="2" width="8.88671875" style="9"/>
  </cols>
  <sheetData>
    <row r="1" spans="1:25" x14ac:dyDescent="0.3">
      <c r="A1" t="s">
        <v>61</v>
      </c>
    </row>
    <row r="2" spans="1:25" x14ac:dyDescent="0.3">
      <c r="A2" t="s">
        <v>62</v>
      </c>
    </row>
    <row r="7" spans="1:25" x14ac:dyDescent="0.3">
      <c r="A7" s="4" t="s">
        <v>6</v>
      </c>
      <c r="B7" s="10"/>
      <c r="C7" s="1"/>
      <c r="D7" s="1"/>
      <c r="E7" s="1"/>
      <c r="F7" s="1"/>
      <c r="G7" s="1"/>
    </row>
    <row r="8" spans="1:25" x14ac:dyDescent="0.3">
      <c r="A8" s="4"/>
      <c r="B8" s="10" t="s">
        <v>30</v>
      </c>
      <c r="C8" s="1" t="s">
        <v>31</v>
      </c>
      <c r="D8" s="1" t="s">
        <v>32</v>
      </c>
      <c r="E8" s="1"/>
      <c r="F8" s="1"/>
      <c r="G8" s="1"/>
    </row>
    <row r="9" spans="1:25" x14ac:dyDescent="0.3">
      <c r="A9" s="4" t="s">
        <v>22</v>
      </c>
      <c r="B9" s="10">
        <v>8</v>
      </c>
      <c r="C9" s="1"/>
      <c r="D9" s="1"/>
      <c r="E9" s="1"/>
      <c r="F9" s="1"/>
      <c r="G9" s="1"/>
    </row>
    <row r="10" spans="1:25" x14ac:dyDescent="0.3">
      <c r="A10" s="4" t="s">
        <v>23</v>
      </c>
      <c r="B10" s="10">
        <v>1</v>
      </c>
      <c r="C10" s="1"/>
      <c r="D10" s="1"/>
      <c r="E10" s="1"/>
      <c r="F10" s="1"/>
      <c r="G10" s="1"/>
    </row>
    <row r="11" spans="1:25" x14ac:dyDescent="0.3">
      <c r="A11" s="4" t="s">
        <v>34</v>
      </c>
      <c r="B11" s="10">
        <v>9</v>
      </c>
      <c r="C11" s="4"/>
      <c r="D11" s="4"/>
      <c r="E11" s="4"/>
      <c r="F11" s="4"/>
      <c r="G11" s="4"/>
    </row>
    <row r="12" spans="1:25" x14ac:dyDescent="0.3">
      <c r="A12" s="4" t="s">
        <v>14</v>
      </c>
      <c r="B12" s="10"/>
      <c r="C12" s="4">
        <v>0.2</v>
      </c>
      <c r="D12" s="4"/>
      <c r="E12" s="4" t="s">
        <v>4</v>
      </c>
      <c r="F12" s="4"/>
      <c r="G12" s="4"/>
    </row>
    <row r="13" spans="1:25" x14ac:dyDescent="0.3">
      <c r="A13" s="4" t="s">
        <v>35</v>
      </c>
      <c r="B13" s="10"/>
      <c r="C13" s="4">
        <v>0.2</v>
      </c>
      <c r="D13" s="4"/>
      <c r="E13" s="4">
        <v>0.2</v>
      </c>
      <c r="F13" s="4"/>
      <c r="G13" s="4"/>
    </row>
    <row r="14" spans="1:25" x14ac:dyDescent="0.3">
      <c r="A14" s="4" t="s">
        <v>36</v>
      </c>
      <c r="B14" s="10"/>
      <c r="C14" s="4">
        <v>0.98058067569092011</v>
      </c>
      <c r="D14" s="4"/>
      <c r="E14" s="4">
        <v>0</v>
      </c>
      <c r="F14" s="4"/>
      <c r="G14" s="4"/>
    </row>
    <row r="15" spans="1:25" x14ac:dyDescent="0.3">
      <c r="A15" s="4"/>
      <c r="B15" s="10" t="s">
        <v>37</v>
      </c>
      <c r="C15" s="4">
        <v>2</v>
      </c>
      <c r="D15" s="4"/>
      <c r="E15" s="4"/>
      <c r="F15" s="4"/>
      <c r="G15" s="4"/>
      <c r="R15" t="s">
        <v>59</v>
      </c>
      <c r="S15" t="s">
        <v>63</v>
      </c>
      <c r="U15" t="s">
        <v>59</v>
      </c>
      <c r="V15" t="s">
        <v>63</v>
      </c>
      <c r="X15" t="s">
        <v>59</v>
      </c>
      <c r="Y15" t="s">
        <v>63</v>
      </c>
    </row>
    <row r="16" spans="1:25" x14ac:dyDescent="0.3">
      <c r="A16" s="4"/>
      <c r="B16" s="10"/>
      <c r="C16" s="4"/>
      <c r="D16" s="4"/>
      <c r="E16" s="4"/>
      <c r="F16" s="4"/>
      <c r="G16" s="4"/>
      <c r="R16">
        <v>0</v>
      </c>
      <c r="S16" t="s">
        <v>64</v>
      </c>
      <c r="U16">
        <v>0</v>
      </c>
      <c r="V16" t="s">
        <v>64</v>
      </c>
      <c r="X16">
        <v>0</v>
      </c>
      <c r="Y16" t="s">
        <v>64</v>
      </c>
    </row>
    <row r="17" spans="1:25" x14ac:dyDescent="0.3">
      <c r="A17" s="4"/>
      <c r="B17" s="10"/>
      <c r="C17" s="4"/>
      <c r="D17" s="4"/>
      <c r="E17" s="4"/>
      <c r="F17" s="4"/>
      <c r="G17" s="4"/>
      <c r="R17">
        <v>0.1</v>
      </c>
      <c r="S17">
        <v>0</v>
      </c>
      <c r="U17">
        <v>0.5</v>
      </c>
      <c r="V17">
        <v>0</v>
      </c>
      <c r="X17">
        <v>0.2</v>
      </c>
      <c r="Y17">
        <v>0</v>
      </c>
    </row>
    <row r="18" spans="1:25" x14ac:dyDescent="0.3">
      <c r="A18" s="4" t="s">
        <v>59</v>
      </c>
      <c r="B18" s="10" t="s">
        <v>55</v>
      </c>
      <c r="C18" s="4" t="s">
        <v>56</v>
      </c>
      <c r="D18" s="4" t="s">
        <v>58</v>
      </c>
      <c r="E18" s="4" t="s">
        <v>57</v>
      </c>
      <c r="F18" s="4" t="s">
        <v>46</v>
      </c>
      <c r="G18" s="4" t="s">
        <v>44</v>
      </c>
      <c r="H18" s="4" t="s">
        <v>63</v>
      </c>
      <c r="R18">
        <v>0.13</v>
      </c>
      <c r="S18">
        <v>4.4871046786240508E-2</v>
      </c>
      <c r="U18">
        <v>0.6</v>
      </c>
      <c r="V18">
        <v>0.13630869864113246</v>
      </c>
      <c r="X18">
        <v>0.23</v>
      </c>
      <c r="Y18">
        <v>0</v>
      </c>
    </row>
    <row r="19" spans="1:25" x14ac:dyDescent="0.3">
      <c r="A19" s="4">
        <v>0</v>
      </c>
      <c r="B19" s="10">
        <v>0</v>
      </c>
      <c r="C19" s="4">
        <v>1</v>
      </c>
      <c r="D19" s="4">
        <v>1</v>
      </c>
      <c r="E19" s="4">
        <v>0</v>
      </c>
      <c r="F19" s="4">
        <v>0.9</v>
      </c>
      <c r="G19" s="4">
        <f>1-D19</f>
        <v>0</v>
      </c>
      <c r="H19" t="s">
        <v>64</v>
      </c>
      <c r="R19">
        <v>0.2</v>
      </c>
      <c r="S19">
        <v>0.19002889504461529</v>
      </c>
      <c r="U19">
        <v>0.7</v>
      </c>
      <c r="V19">
        <v>0.21143602933288227</v>
      </c>
      <c r="X19">
        <v>0.3</v>
      </c>
      <c r="Y19">
        <v>4.0979666402354363E-2</v>
      </c>
    </row>
    <row r="20" spans="1:25" x14ac:dyDescent="0.3">
      <c r="A20" s="4">
        <v>0.1</v>
      </c>
      <c r="B20" s="10">
        <v>0</v>
      </c>
      <c r="C20" s="4">
        <v>1</v>
      </c>
      <c r="D20" s="4">
        <v>1</v>
      </c>
      <c r="E20" s="4">
        <v>0.1</v>
      </c>
      <c r="F20" s="4">
        <v>0.9</v>
      </c>
      <c r="G20" s="4">
        <f t="shared" ref="G20:G27" si="0">1-D20</f>
        <v>0</v>
      </c>
      <c r="H20">
        <f t="shared" ref="H20:H29" si="1">G20/(G20+E20)</f>
        <v>0</v>
      </c>
      <c r="R20">
        <v>0.3</v>
      </c>
      <c r="S20">
        <v>0.27043432323600841</v>
      </c>
      <c r="U20">
        <v>0.8</v>
      </c>
      <c r="V20">
        <v>0.28449169522699452</v>
      </c>
      <c r="X20">
        <v>0.4</v>
      </c>
      <c r="Y20">
        <v>6.9434945336747447E-2</v>
      </c>
    </row>
    <row r="21" spans="1:25" x14ac:dyDescent="0.3">
      <c r="A21" s="4">
        <v>0.13</v>
      </c>
      <c r="B21" s="10">
        <v>0.05</v>
      </c>
      <c r="C21" s="4">
        <v>0.95</v>
      </c>
      <c r="D21" s="4">
        <v>0.99418604651162801</v>
      </c>
      <c r="E21" s="4">
        <v>0.123756312970288</v>
      </c>
      <c r="F21" s="4">
        <v>0.87042973354133901</v>
      </c>
      <c r="G21" s="4">
        <f t="shared" si="0"/>
        <v>5.8139534883719923E-3</v>
      </c>
      <c r="H21">
        <f t="shared" si="1"/>
        <v>4.4871046786239051E-2</v>
      </c>
      <c r="R21">
        <v>0.4</v>
      </c>
      <c r="S21">
        <v>0.32131245412204396</v>
      </c>
      <c r="U21">
        <v>0.9</v>
      </c>
      <c r="V21">
        <v>0.35984200700033125</v>
      </c>
      <c r="X21">
        <v>0.5</v>
      </c>
      <c r="Y21">
        <v>9.5288261550256922E-2</v>
      </c>
    </row>
    <row r="22" spans="1:25" x14ac:dyDescent="0.3">
      <c r="A22" s="4">
        <v>0.2</v>
      </c>
      <c r="B22" s="10">
        <v>0.25000000000000022</v>
      </c>
      <c r="C22" s="4">
        <v>0.74999999999999978</v>
      </c>
      <c r="D22" s="4">
        <v>0.9642857142857143</v>
      </c>
      <c r="E22" s="4">
        <v>0.15222705713202533</v>
      </c>
      <c r="F22" s="4">
        <v>0.81205865715368897</v>
      </c>
      <c r="G22" s="4">
        <f t="shared" si="0"/>
        <v>3.5714285714285698E-2</v>
      </c>
      <c r="H22">
        <f t="shared" si="1"/>
        <v>0.19002889504461529</v>
      </c>
      <c r="R22">
        <v>0.6</v>
      </c>
      <c r="S22">
        <v>0.35188694299298773</v>
      </c>
      <c r="U22">
        <v>1</v>
      </c>
      <c r="V22">
        <v>0.38697046250287798</v>
      </c>
      <c r="X22">
        <v>0.7</v>
      </c>
      <c r="Y22">
        <v>0.1067246745724639</v>
      </c>
    </row>
    <row r="23" spans="1:25" x14ac:dyDescent="0.3">
      <c r="A23" s="4">
        <v>0.3</v>
      </c>
      <c r="B23" s="10">
        <v>0.40000000000000036</v>
      </c>
      <c r="C23" s="4">
        <v>0.59999999999999964</v>
      </c>
      <c r="D23" s="4">
        <v>0.93103448275862055</v>
      </c>
      <c r="E23" s="4">
        <v>0.18605210188381255</v>
      </c>
      <c r="F23" s="4">
        <v>0.74498238087480795</v>
      </c>
      <c r="G23" s="4">
        <f t="shared" si="0"/>
        <v>6.8965517241379448E-2</v>
      </c>
      <c r="H23">
        <f t="shared" si="1"/>
        <v>0.27043432323600841</v>
      </c>
      <c r="R23">
        <v>1</v>
      </c>
      <c r="S23">
        <v>0.36801787393925872</v>
      </c>
      <c r="X23">
        <v>1.1000000000000001</v>
      </c>
      <c r="Y23">
        <v>0.10313251008995714</v>
      </c>
    </row>
    <row r="24" spans="1:25" x14ac:dyDescent="0.3">
      <c r="A24" s="4">
        <v>0.4</v>
      </c>
      <c r="B24" s="10">
        <v>0.50000000000000044</v>
      </c>
      <c r="C24" s="4">
        <v>0.49999999999999961</v>
      </c>
      <c r="D24" s="4">
        <v>0.89999999999999991</v>
      </c>
      <c r="E24" s="4">
        <v>0.21122354181147646</v>
      </c>
      <c r="F24" s="4">
        <v>0.6887764581885234</v>
      </c>
      <c r="G24" s="4">
        <f t="shared" si="0"/>
        <v>0.10000000000000009</v>
      </c>
      <c r="H24">
        <f t="shared" si="1"/>
        <v>0.32131245412204396</v>
      </c>
      <c r="R24">
        <v>1.5</v>
      </c>
      <c r="S24">
        <v>0.34678465135009146</v>
      </c>
    </row>
    <row r="25" spans="1:25" x14ac:dyDescent="0.3">
      <c r="A25" s="4">
        <v>0.6</v>
      </c>
      <c r="B25" s="10">
        <v>0.60000000000000031</v>
      </c>
      <c r="C25" s="4">
        <v>0.39999999999999963</v>
      </c>
      <c r="D25" s="4">
        <v>0.85714285714285687</v>
      </c>
      <c r="E25" s="4">
        <v>0.26311740579210852</v>
      </c>
      <c r="F25" s="4">
        <v>0.59402545135074836</v>
      </c>
      <c r="G25" s="4">
        <f t="shared" si="0"/>
        <v>0.14285714285714313</v>
      </c>
      <c r="H25">
        <f t="shared" si="1"/>
        <v>0.35188694299298773</v>
      </c>
      <c r="R25">
        <v>2</v>
      </c>
      <c r="S25">
        <v>0.35522489887250908</v>
      </c>
    </row>
    <row r="26" spans="1:25" x14ac:dyDescent="0.3">
      <c r="A26" s="4">
        <v>1</v>
      </c>
      <c r="B26" s="10">
        <v>0.7000000000000004</v>
      </c>
      <c r="C26" s="4">
        <v>0.29999999999999966</v>
      </c>
      <c r="D26" s="4">
        <v>0.79411764705882326</v>
      </c>
      <c r="E26" s="4">
        <v>0.3535533905932734</v>
      </c>
      <c r="F26" s="4">
        <v>0.44056425646554986</v>
      </c>
      <c r="G26" s="4">
        <f t="shared" si="0"/>
        <v>0.20588235294117674</v>
      </c>
      <c r="H26">
        <f t="shared" si="1"/>
        <v>0.36801787393925872</v>
      </c>
      <c r="R26">
        <v>2.4</v>
      </c>
      <c r="S26">
        <v>0.31464929293777905</v>
      </c>
    </row>
    <row r="27" spans="1:25" x14ac:dyDescent="0.3">
      <c r="A27" s="4">
        <v>1.5</v>
      </c>
      <c r="B27" s="10">
        <v>0.75000000000000033</v>
      </c>
      <c r="C27" s="4">
        <v>0.24999999999999967</v>
      </c>
      <c r="D27" s="4">
        <v>0.74999999999999967</v>
      </c>
      <c r="E27" s="4">
        <v>0.47090849184561034</v>
      </c>
      <c r="F27" s="4">
        <v>0.27909150815438932</v>
      </c>
      <c r="G27" s="4">
        <f t="shared" si="0"/>
        <v>0.25000000000000033</v>
      </c>
      <c r="H27">
        <f t="shared" si="1"/>
        <v>0.34678465135009146</v>
      </c>
    </row>
    <row r="28" spans="1:25" x14ac:dyDescent="0.3">
      <c r="A28" s="4">
        <v>2</v>
      </c>
      <c r="B28" s="10">
        <v>0.79899999999999993</v>
      </c>
      <c r="C28" s="4">
        <v>0.20100000000000001</v>
      </c>
      <c r="D28" s="4">
        <v>0.69363496932515345</v>
      </c>
      <c r="E28" s="4">
        <v>0.55608867582842869</v>
      </c>
      <c r="F28" s="4">
        <v>0.13754629349672476</v>
      </c>
      <c r="G28" s="4">
        <f>1-D28</f>
        <v>0.30636503067484655</v>
      </c>
      <c r="H28">
        <f t="shared" si="1"/>
        <v>0.35522489887250908</v>
      </c>
    </row>
    <row r="29" spans="1:25" x14ac:dyDescent="0.3">
      <c r="A29" s="4">
        <v>2.4</v>
      </c>
      <c r="B29" s="10">
        <v>0.79899999999999993</v>
      </c>
      <c r="C29" s="4">
        <v>0.20100000000000001</v>
      </c>
      <c r="D29" s="4">
        <v>0.69363496932515345</v>
      </c>
      <c r="E29" s="4">
        <v>0.66730641099411436</v>
      </c>
      <c r="F29" s="4">
        <v>2.6328558331039087E-2</v>
      </c>
      <c r="G29" s="4">
        <f>1-D29</f>
        <v>0.30636503067484655</v>
      </c>
      <c r="H29">
        <f t="shared" si="1"/>
        <v>0.31464929293777905</v>
      </c>
    </row>
    <row r="30" spans="1:25" x14ac:dyDescent="0.3">
      <c r="A30" s="4"/>
      <c r="H30" s="4"/>
    </row>
    <row r="31" spans="1:25" x14ac:dyDescent="0.3">
      <c r="A31" s="4"/>
      <c r="B31" s="10"/>
      <c r="C31" s="4"/>
      <c r="D31" s="4"/>
      <c r="E31" s="4"/>
      <c r="F31" s="4"/>
      <c r="G31" s="4"/>
      <c r="H31" s="4"/>
    </row>
    <row r="32" spans="1:25" x14ac:dyDescent="0.3">
      <c r="A32" s="4"/>
      <c r="B32" s="10"/>
      <c r="C32" s="4"/>
      <c r="D32" s="4"/>
      <c r="E32" s="4"/>
      <c r="F32" s="4"/>
      <c r="H32" s="4"/>
    </row>
    <row r="33" spans="1:8" x14ac:dyDescent="0.3">
      <c r="A33" s="4" t="s">
        <v>60</v>
      </c>
      <c r="B33" s="10" t="s">
        <v>30</v>
      </c>
      <c r="C33" s="4" t="s">
        <v>31</v>
      </c>
      <c r="D33" s="4" t="s">
        <v>32</v>
      </c>
      <c r="E33" s="4"/>
      <c r="F33" s="4"/>
      <c r="H33" s="1"/>
    </row>
    <row r="34" spans="1:8" x14ac:dyDescent="0.3">
      <c r="A34" s="1" t="s">
        <v>22</v>
      </c>
      <c r="B34" s="11">
        <v>1</v>
      </c>
      <c r="C34" s="1"/>
      <c r="D34" s="1"/>
      <c r="E34" s="1"/>
      <c r="F34" s="1"/>
      <c r="H34" s="1"/>
    </row>
    <row r="35" spans="1:8" x14ac:dyDescent="0.3">
      <c r="A35" s="1" t="s">
        <v>23</v>
      </c>
      <c r="B35" s="11">
        <v>1</v>
      </c>
      <c r="C35" s="1"/>
      <c r="D35" s="1"/>
      <c r="E35" s="1"/>
      <c r="F35" s="1"/>
      <c r="H35" s="1"/>
    </row>
    <row r="36" spans="1:8" x14ac:dyDescent="0.3">
      <c r="A36" s="1" t="s">
        <v>34</v>
      </c>
      <c r="B36" s="11">
        <v>2</v>
      </c>
      <c r="C36" s="1"/>
      <c r="D36" s="1"/>
      <c r="E36" s="1"/>
      <c r="F36" s="1"/>
      <c r="H36" s="1"/>
    </row>
    <row r="37" spans="1:8" x14ac:dyDescent="0.3">
      <c r="A37" s="1" t="s">
        <v>14</v>
      </c>
      <c r="B37" s="11"/>
      <c r="C37" s="1">
        <v>0.2</v>
      </c>
      <c r="D37" s="1"/>
      <c r="E37" s="1" t="s">
        <v>4</v>
      </c>
      <c r="F37" s="1"/>
      <c r="H37" s="1"/>
    </row>
    <row r="38" spans="1:8" x14ac:dyDescent="0.3">
      <c r="A38" s="1" t="s">
        <v>35</v>
      </c>
      <c r="B38" s="11"/>
      <c r="C38" s="1">
        <v>0.9</v>
      </c>
      <c r="D38" s="1"/>
      <c r="E38" s="1">
        <v>0.8</v>
      </c>
      <c r="F38" s="1"/>
      <c r="H38" s="1"/>
    </row>
    <row r="39" spans="1:8" x14ac:dyDescent="0.3">
      <c r="A39" s="1" t="s">
        <v>36</v>
      </c>
      <c r="B39" s="11"/>
      <c r="C39" s="1">
        <v>0.98058067569091989</v>
      </c>
      <c r="D39" s="1"/>
      <c r="E39" s="1">
        <v>9.9999999999999516E-3</v>
      </c>
      <c r="F39" s="1"/>
      <c r="H39" s="1"/>
    </row>
    <row r="40" spans="1:8" x14ac:dyDescent="0.3">
      <c r="A40" s="1"/>
      <c r="B40" s="11" t="s">
        <v>37</v>
      </c>
      <c r="C40" s="1">
        <v>1</v>
      </c>
      <c r="D40" s="1"/>
      <c r="E40" s="1"/>
      <c r="F40" s="1"/>
      <c r="G40" s="4" t="s">
        <v>44</v>
      </c>
      <c r="H40" s="1"/>
    </row>
    <row r="41" spans="1:8" x14ac:dyDescent="0.3">
      <c r="A41" s="4" t="s">
        <v>59</v>
      </c>
      <c r="B41" s="10" t="s">
        <v>55</v>
      </c>
      <c r="C41" s="4" t="s">
        <v>56</v>
      </c>
      <c r="D41" s="4" t="s">
        <v>58</v>
      </c>
      <c r="E41" s="4" t="s">
        <v>57</v>
      </c>
      <c r="F41" s="4" t="s">
        <v>46</v>
      </c>
      <c r="G41" s="4" t="s">
        <v>44</v>
      </c>
      <c r="H41" s="4" t="s">
        <v>63</v>
      </c>
    </row>
    <row r="42" spans="1:8" x14ac:dyDescent="0.3">
      <c r="A42" s="1">
        <v>0</v>
      </c>
      <c r="B42" s="11">
        <v>0</v>
      </c>
      <c r="C42" s="1">
        <v>1</v>
      </c>
      <c r="D42" s="1">
        <v>1</v>
      </c>
      <c r="E42" s="1">
        <v>0</v>
      </c>
      <c r="F42" s="1">
        <v>0.8</v>
      </c>
      <c r="G42" s="4">
        <f>1-D42</f>
        <v>0</v>
      </c>
      <c r="H42" t="s">
        <v>64</v>
      </c>
    </row>
    <row r="43" spans="1:8" x14ac:dyDescent="0.3">
      <c r="A43" s="4">
        <v>0.5</v>
      </c>
      <c r="B43" s="10">
        <v>0</v>
      </c>
      <c r="C43" s="4">
        <v>1</v>
      </c>
      <c r="D43" s="4">
        <v>1</v>
      </c>
      <c r="E43" s="4">
        <v>0.5</v>
      </c>
      <c r="F43" s="1">
        <v>0.5</v>
      </c>
      <c r="G43" s="4">
        <f t="shared" ref="G43:G48" si="2">1-D43</f>
        <v>0</v>
      </c>
      <c r="H43">
        <f t="shared" ref="H43:H48" si="3">G43/(G43+E43)</f>
        <v>0</v>
      </c>
    </row>
    <row r="44" spans="1:8" x14ac:dyDescent="0.3">
      <c r="A44" s="1">
        <v>0.6</v>
      </c>
      <c r="B44" s="11">
        <v>0.15000000000000013</v>
      </c>
      <c r="C44" s="1">
        <v>0.84999999999999987</v>
      </c>
      <c r="D44" s="1">
        <v>0.91891891891891886</v>
      </c>
      <c r="E44" s="1">
        <v>0.51375315832830415</v>
      </c>
      <c r="F44" s="1">
        <v>0.40516576059061471</v>
      </c>
      <c r="G44" s="4">
        <f t="shared" si="2"/>
        <v>8.1081081081081141E-2</v>
      </c>
      <c r="H44">
        <f t="shared" si="3"/>
        <v>0.13630869864113246</v>
      </c>
    </row>
    <row r="45" spans="1:8" x14ac:dyDescent="0.3">
      <c r="A45" s="1">
        <v>0.7</v>
      </c>
      <c r="B45" s="11">
        <v>0.25000000000000022</v>
      </c>
      <c r="C45" s="1">
        <v>0.74999999999999978</v>
      </c>
      <c r="D45" s="1">
        <v>0.85714285714285698</v>
      </c>
      <c r="E45" s="1">
        <v>0.53279469996208861</v>
      </c>
      <c r="F45" s="1">
        <v>0.32434815718076837</v>
      </c>
      <c r="G45" s="4">
        <f t="shared" si="2"/>
        <v>0.14285714285714302</v>
      </c>
      <c r="H45">
        <f t="shared" si="3"/>
        <v>0.21143602933288227</v>
      </c>
    </row>
    <row r="46" spans="1:8" x14ac:dyDescent="0.3">
      <c r="A46" s="1">
        <v>0.8</v>
      </c>
      <c r="B46" s="11">
        <v>0.35000000000000031</v>
      </c>
      <c r="C46" s="1">
        <v>0.64999999999999969</v>
      </c>
      <c r="D46" s="1">
        <v>0.78787878787878762</v>
      </c>
      <c r="E46" s="1">
        <v>0.53349356567383677</v>
      </c>
      <c r="F46" s="1">
        <v>0.25438522220495086</v>
      </c>
      <c r="G46" s="4">
        <f t="shared" si="2"/>
        <v>0.21212121212121238</v>
      </c>
      <c r="H46">
        <f t="shared" si="3"/>
        <v>0.28449169522699452</v>
      </c>
    </row>
    <row r="47" spans="1:8" x14ac:dyDescent="0.3">
      <c r="A47" s="1">
        <v>0.9</v>
      </c>
      <c r="B47" s="11">
        <v>0.4500000000000004</v>
      </c>
      <c r="C47" s="1">
        <v>0.5499999999999996</v>
      </c>
      <c r="D47" s="1">
        <v>0.70967741935483841</v>
      </c>
      <c r="E47" s="1">
        <v>0.5164831146245803</v>
      </c>
      <c r="F47" s="1">
        <v>0.19319430473025812</v>
      </c>
      <c r="G47" s="4">
        <f t="shared" si="2"/>
        <v>0.29032258064516159</v>
      </c>
      <c r="H47">
        <f t="shared" si="3"/>
        <v>0.35984200700033125</v>
      </c>
    </row>
    <row r="48" spans="1:8" x14ac:dyDescent="0.3">
      <c r="A48" s="1">
        <v>1</v>
      </c>
      <c r="B48" s="11">
        <v>0.50000000000000044</v>
      </c>
      <c r="C48" s="1">
        <v>0.49999999999999961</v>
      </c>
      <c r="D48" s="1">
        <v>0.6666666666666663</v>
      </c>
      <c r="E48" s="1">
        <v>0.52805885452869117</v>
      </c>
      <c r="F48" s="1">
        <v>0.13860781213797513</v>
      </c>
      <c r="G48" s="4">
        <f t="shared" si="2"/>
        <v>0.3333333333333337</v>
      </c>
      <c r="H48">
        <f t="shared" si="3"/>
        <v>0.38697046250287798</v>
      </c>
    </row>
    <row r="49" spans="1:8" x14ac:dyDescent="0.3">
      <c r="A49" s="1"/>
      <c r="B49" s="11"/>
      <c r="C49" s="1"/>
      <c r="D49" s="1"/>
      <c r="E49" s="1"/>
      <c r="F49" s="1"/>
      <c r="G49" s="4"/>
    </row>
    <row r="50" spans="1:8" x14ac:dyDescent="0.3">
      <c r="A50" s="1" t="s">
        <v>8</v>
      </c>
      <c r="B50" s="11" t="s">
        <v>30</v>
      </c>
      <c r="C50" s="1" t="s">
        <v>31</v>
      </c>
      <c r="D50" s="1" t="s">
        <v>32</v>
      </c>
      <c r="E50" s="1"/>
      <c r="F50" s="1"/>
      <c r="G50" s="1"/>
    </row>
    <row r="51" spans="1:8" x14ac:dyDescent="0.3">
      <c r="A51" s="1" t="s">
        <v>22</v>
      </c>
      <c r="B51" s="11">
        <v>8</v>
      </c>
      <c r="C51" s="1"/>
      <c r="D51" s="1"/>
      <c r="E51" s="1"/>
      <c r="F51" s="1"/>
      <c r="G51" s="1"/>
      <c r="H51" s="1"/>
    </row>
    <row r="52" spans="1:8" x14ac:dyDescent="0.3">
      <c r="A52" s="1" t="s">
        <v>23</v>
      </c>
      <c r="B52" s="11">
        <v>1</v>
      </c>
      <c r="C52" s="1"/>
      <c r="D52" s="1"/>
      <c r="E52" s="1"/>
      <c r="F52" s="1"/>
      <c r="G52" s="1"/>
      <c r="H52" s="1"/>
    </row>
    <row r="53" spans="1:8" x14ac:dyDescent="0.3">
      <c r="A53" s="1" t="s">
        <v>34</v>
      </c>
      <c r="B53" s="11">
        <v>9</v>
      </c>
      <c r="C53" s="1"/>
      <c r="D53" s="1"/>
      <c r="E53" s="1"/>
      <c r="F53" s="1"/>
      <c r="G53" s="1"/>
      <c r="H53" s="1"/>
    </row>
    <row r="54" spans="1:8" x14ac:dyDescent="0.3">
      <c r="A54" s="1" t="s">
        <v>14</v>
      </c>
      <c r="B54" s="11"/>
      <c r="C54" s="1">
        <v>1</v>
      </c>
      <c r="D54" s="1"/>
      <c r="E54" s="1" t="s">
        <v>4</v>
      </c>
      <c r="F54" s="1"/>
      <c r="G54" s="1"/>
      <c r="H54" s="1"/>
    </row>
    <row r="55" spans="1:8" x14ac:dyDescent="0.3">
      <c r="A55" s="1" t="s">
        <v>35</v>
      </c>
      <c r="B55" s="11"/>
      <c r="C55" s="1">
        <v>0.45</v>
      </c>
      <c r="D55" s="1"/>
      <c r="E55" s="1">
        <v>0.9</v>
      </c>
      <c r="F55" s="1"/>
      <c r="G55" s="1"/>
      <c r="H55" s="1"/>
    </row>
    <row r="56" spans="1:8" x14ac:dyDescent="0.3">
      <c r="A56" s="1" t="s">
        <v>36</v>
      </c>
      <c r="B56" s="11"/>
      <c r="C56" s="1">
        <v>1.4142135623730949</v>
      </c>
      <c r="D56" s="1"/>
      <c r="E56" s="1">
        <v>0</v>
      </c>
      <c r="F56" s="1"/>
      <c r="G56" s="1"/>
      <c r="H56" s="1"/>
    </row>
    <row r="57" spans="1:8" x14ac:dyDescent="0.3">
      <c r="A57" s="1"/>
      <c r="B57" s="11"/>
      <c r="C57" s="1"/>
      <c r="D57" s="1"/>
      <c r="E57" s="1"/>
      <c r="F57" s="1"/>
      <c r="G57" s="4" t="s">
        <v>44</v>
      </c>
      <c r="H57" s="1"/>
    </row>
    <row r="58" spans="1:8" x14ac:dyDescent="0.3">
      <c r="A58" s="4" t="s">
        <v>59</v>
      </c>
      <c r="B58" s="10" t="s">
        <v>55</v>
      </c>
      <c r="C58" s="4" t="s">
        <v>56</v>
      </c>
      <c r="D58" s="4" t="s">
        <v>58</v>
      </c>
      <c r="E58" s="4" t="s">
        <v>57</v>
      </c>
      <c r="F58" s="4" t="s">
        <v>46</v>
      </c>
      <c r="G58" s="4" t="s">
        <v>44</v>
      </c>
      <c r="H58" s="4" t="s">
        <v>63</v>
      </c>
    </row>
    <row r="59" spans="1:8" x14ac:dyDescent="0.3">
      <c r="A59" s="4">
        <v>0</v>
      </c>
      <c r="B59" s="11">
        <f t="shared" ref="B59:B65" si="4">1-C59</f>
        <v>0</v>
      </c>
      <c r="C59" s="1">
        <v>1</v>
      </c>
      <c r="D59" s="1">
        <v>1</v>
      </c>
      <c r="E59" s="1">
        <v>0</v>
      </c>
      <c r="F59" s="1">
        <v>0.8</v>
      </c>
      <c r="G59" s="4">
        <f>1-D59</f>
        <v>0</v>
      </c>
      <c r="H59" t="s">
        <v>64</v>
      </c>
    </row>
    <row r="60" spans="1:8" x14ac:dyDescent="0.3">
      <c r="A60" s="1">
        <v>0.2</v>
      </c>
      <c r="B60" s="11">
        <f t="shared" si="4"/>
        <v>0</v>
      </c>
      <c r="C60" s="1">
        <v>1</v>
      </c>
      <c r="D60" s="1">
        <v>1</v>
      </c>
      <c r="E60" s="1">
        <v>0.19999999999999998</v>
      </c>
      <c r="F60" s="1">
        <v>0.8</v>
      </c>
      <c r="G60" s="4">
        <f t="shared" ref="G60:G66" si="5">1-D60</f>
        <v>0</v>
      </c>
      <c r="H60">
        <f t="shared" ref="H60:H66" si="6">G60/(G60+E60)</f>
        <v>0</v>
      </c>
    </row>
    <row r="61" spans="1:8" x14ac:dyDescent="0.3">
      <c r="A61" s="4">
        <v>0.23</v>
      </c>
      <c r="B61" s="11">
        <f t="shared" si="4"/>
        <v>0</v>
      </c>
      <c r="C61" s="4">
        <v>1</v>
      </c>
      <c r="D61" s="4">
        <v>1</v>
      </c>
      <c r="E61" s="4">
        <v>0.22999999999999995</v>
      </c>
      <c r="F61" s="4">
        <v>0.77</v>
      </c>
      <c r="G61" s="4">
        <f t="shared" si="5"/>
        <v>0</v>
      </c>
      <c r="H61">
        <f t="shared" si="6"/>
        <v>0</v>
      </c>
    </row>
    <row r="62" spans="1:8" x14ac:dyDescent="0.3">
      <c r="A62" s="4">
        <v>0.3</v>
      </c>
      <c r="B62" s="11">
        <f t="shared" si="4"/>
        <v>0.10000000000000009</v>
      </c>
      <c r="C62" s="4">
        <v>0.89999999999999991</v>
      </c>
      <c r="D62" s="4">
        <v>0.98780487804878048</v>
      </c>
      <c r="E62" s="4">
        <v>0.28539446385660661</v>
      </c>
      <c r="F62" s="4">
        <v>0.70241041419217387</v>
      </c>
      <c r="G62" s="4">
        <f t="shared" si="5"/>
        <v>1.2195121951219523E-2</v>
      </c>
      <c r="H62">
        <f t="shared" si="6"/>
        <v>4.0979666402354363E-2</v>
      </c>
    </row>
    <row r="63" spans="1:8" x14ac:dyDescent="0.3">
      <c r="A63" s="4">
        <v>0.4</v>
      </c>
      <c r="B63" s="11">
        <f t="shared" si="4"/>
        <v>0.20000000000000018</v>
      </c>
      <c r="C63" s="4">
        <v>0.79999999999999982</v>
      </c>
      <c r="D63" s="4">
        <v>0.97297297297297292</v>
      </c>
      <c r="E63" s="4">
        <v>0.36221540552549658</v>
      </c>
      <c r="F63" s="4">
        <v>0.61075756744747633</v>
      </c>
      <c r="G63" s="4">
        <f t="shared" si="5"/>
        <v>2.7027027027027084E-2</v>
      </c>
      <c r="H63">
        <f t="shared" si="6"/>
        <v>6.9434945336747447E-2</v>
      </c>
    </row>
    <row r="64" spans="1:8" x14ac:dyDescent="0.3">
      <c r="A64" s="4">
        <v>0.5</v>
      </c>
      <c r="B64" s="11">
        <f t="shared" si="4"/>
        <v>0.30000000000000027</v>
      </c>
      <c r="C64" s="4">
        <v>0.69999999999999973</v>
      </c>
      <c r="D64" s="4">
        <v>0.95454545454545447</v>
      </c>
      <c r="E64" s="4">
        <v>0.43156691254080154</v>
      </c>
      <c r="F64" s="1">
        <v>0.52297854200465288</v>
      </c>
      <c r="G64" s="4">
        <f t="shared" si="5"/>
        <v>4.5454545454545525E-2</v>
      </c>
      <c r="H64">
        <f t="shared" si="6"/>
        <v>9.5288261550256922E-2</v>
      </c>
    </row>
    <row r="65" spans="1:8" x14ac:dyDescent="0.3">
      <c r="A65" s="4">
        <v>0.7</v>
      </c>
      <c r="B65" s="11">
        <f t="shared" si="4"/>
        <v>0.40000000000000036</v>
      </c>
      <c r="C65" s="4">
        <v>0.59999999999999964</v>
      </c>
      <c r="D65" s="4">
        <v>0.93103448275862055</v>
      </c>
      <c r="E65" s="4">
        <v>0.57723478758647229</v>
      </c>
      <c r="F65" s="4">
        <v>0.35379969517214827</v>
      </c>
      <c r="G65" s="4">
        <f t="shared" si="5"/>
        <v>6.8965517241379448E-2</v>
      </c>
      <c r="H65">
        <f t="shared" si="6"/>
        <v>0.1067246745724639</v>
      </c>
    </row>
    <row r="66" spans="1:8" x14ac:dyDescent="0.3">
      <c r="A66" s="1">
        <v>1.1000000000000001</v>
      </c>
      <c r="B66" s="11">
        <f>1-C66</f>
        <v>0.50000000000000044</v>
      </c>
      <c r="C66" s="1">
        <v>0.49999999999999961</v>
      </c>
      <c r="D66" s="1">
        <v>0.89999999999999991</v>
      </c>
      <c r="E66" s="1">
        <v>0.86962635654630405</v>
      </c>
      <c r="F66" s="1">
        <v>3.0373643453695864E-2</v>
      </c>
      <c r="G66" s="4">
        <f t="shared" si="5"/>
        <v>0.10000000000000009</v>
      </c>
      <c r="H66">
        <f t="shared" si="6"/>
        <v>0.10313251008995714</v>
      </c>
    </row>
    <row r="67" spans="1:8" x14ac:dyDescent="0.3">
      <c r="A67" s="1"/>
      <c r="B67" s="11"/>
      <c r="C67" s="1"/>
      <c r="D67" s="1"/>
      <c r="E67" s="1"/>
      <c r="F67" s="1"/>
      <c r="G67" s="1"/>
    </row>
    <row r="68" spans="1:8" x14ac:dyDescent="0.3">
      <c r="A68" s="1">
        <v>1.1000000000000001</v>
      </c>
      <c r="B68" s="11">
        <v>0.49999999999999961</v>
      </c>
      <c r="C68" s="1">
        <v>0.89999999999999991</v>
      </c>
      <c r="D68" s="1">
        <v>0.86962635654630405</v>
      </c>
      <c r="E68" s="1">
        <v>3.0373643453695864E-2</v>
      </c>
      <c r="F68" s="1"/>
      <c r="G68" s="1"/>
      <c r="H68" s="1"/>
    </row>
    <row r="69" spans="1:8" x14ac:dyDescent="0.3">
      <c r="G69" s="1"/>
      <c r="H69" s="1"/>
    </row>
    <row r="70" spans="1:8" x14ac:dyDescent="0.3">
      <c r="G70" s="1"/>
      <c r="H70" s="1"/>
    </row>
    <row r="71" spans="1:8" x14ac:dyDescent="0.3">
      <c r="G71" s="1"/>
      <c r="H71" s="1"/>
    </row>
    <row r="72" spans="1:8" x14ac:dyDescent="0.3">
      <c r="G72" s="1"/>
      <c r="H72" s="1"/>
    </row>
    <row r="73" spans="1:8" x14ac:dyDescent="0.3">
      <c r="G73" s="1"/>
      <c r="H73" s="1"/>
    </row>
    <row r="74" spans="1:8" x14ac:dyDescent="0.3">
      <c r="G74" s="1"/>
      <c r="H74" s="1"/>
    </row>
    <row r="75" spans="1:8" x14ac:dyDescent="0.3">
      <c r="G75" s="1"/>
      <c r="H75" s="1"/>
    </row>
    <row r="76" spans="1:8" x14ac:dyDescent="0.3">
      <c r="G76" s="1"/>
      <c r="H76" s="1"/>
    </row>
    <row r="77" spans="1:8" x14ac:dyDescent="0.3">
      <c r="G77" s="4"/>
      <c r="H77" s="4"/>
    </row>
    <row r="78" spans="1:8" x14ac:dyDescent="0.3">
      <c r="G78" s="4"/>
      <c r="H78" s="4"/>
    </row>
    <row r="79" spans="1:8" x14ac:dyDescent="0.3">
      <c r="G79" s="4"/>
      <c r="H79" s="4"/>
    </row>
    <row r="80" spans="1:8" x14ac:dyDescent="0.3">
      <c r="G80" s="4"/>
      <c r="H80" s="4"/>
    </row>
    <row r="81" spans="1:8" x14ac:dyDescent="0.3">
      <c r="G81" s="4"/>
      <c r="H81" s="4"/>
    </row>
    <row r="82" spans="1:8" x14ac:dyDescent="0.3">
      <c r="G82" s="4"/>
      <c r="H82" s="4"/>
    </row>
    <row r="83" spans="1:8" x14ac:dyDescent="0.3">
      <c r="G83" s="4"/>
      <c r="H83" s="4"/>
    </row>
    <row r="85" spans="1:8" x14ac:dyDescent="0.3">
      <c r="A85" s="4"/>
      <c r="B85" s="10"/>
      <c r="C85" s="4"/>
      <c r="D85" s="4"/>
      <c r="E85" s="4"/>
      <c r="F85" s="4"/>
    </row>
  </sheetData>
  <conditionalFormatting sqref="F64">
    <cfRule type="top10" dxfId="3" priority="5" rank="1"/>
  </conditionalFormatting>
  <conditionalFormatting sqref="F65">
    <cfRule type="top10" dxfId="2" priority="4" rank="1"/>
  </conditionalFormatting>
  <conditionalFormatting sqref="F43">
    <cfRule type="top10" dxfId="1" priority="2" rank="1"/>
  </conditionalFormatting>
  <conditionalFormatting sqref="F29">
    <cfRule type="top10" dxfId="0" priority="1" rank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 for text</vt:lpstr>
      <vt:lpstr>ForageMode (2)</vt:lpstr>
      <vt:lpstr>by pred 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Peacor</dc:creator>
  <cp:lastModifiedBy>Scott Peacor</cp:lastModifiedBy>
  <dcterms:created xsi:type="dcterms:W3CDTF">2021-05-01T18:06:18Z</dcterms:created>
  <dcterms:modified xsi:type="dcterms:W3CDTF">2021-07-29T19:36:10Z</dcterms:modified>
</cp:coreProperties>
</file>